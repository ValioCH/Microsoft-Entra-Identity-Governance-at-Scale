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292d6b711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b25aac1ba064bce"/>
    <x:sheet xmlns:r="http://schemas.openxmlformats.org/officeDocument/2006/relationships" name="Employees" sheetId="2" r:id="R09d0df023e264773"/>
    <x:sheet xmlns:r="http://schemas.openxmlformats.org/officeDocument/2006/relationships" name="IAM Mapping" sheetId="3" r:id="R7e5d36d113054e6a"/>
    <x:sheet xmlns:r="http://schemas.openxmlformats.org/officeDocument/2006/relationships" name="Audit" sheetId="4" r:id="Rec9ddfab200d42d7"/>
    <x:sheet xmlns:r="http://schemas.openxmlformats.org/officeDocument/2006/relationships" name="Reference" sheetId="5" r:id="R8676ce66590547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b/>
      <x:sz val="11"/>
      <x:color rgb="FF17365D"/>
      <x:name val="Arial"/>
    </x:font>
    <x:font>
      <x:b/>
      <x:sz val="11"/>
      <x:color rgb="FFFFFFFF"/>
      <x:name val="Arial"/>
    </x:font>
    <x:font>
      <x:sz val="10"/>
      <x:color rgb="FF1F2937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top style="thin">
        <x:color rgb="FFB4C6E7"/>
      </x:top>
    </x:border>
    <x:border>
      <x:bottom style="thin">
        <x:color rgb="FFB4C6E7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4" fillId="3" borderId="7" xfId="0" applyNumberFormat="1" applyFont="1" applyFill="1" applyBorder="1" applyAlignment="1">
      <x:alignment horizontal="center"/>
    </x:xf>
    <x:xf numFmtId="0" fontId="5" fillId="0" borderId="8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2f0a416ef4af0" /><Relationship Type="http://schemas.openxmlformats.org/officeDocument/2006/relationships/theme" Target="/xl/theme/theme1.xml" Id="Ref0ed105495542c6" /><Relationship Type="http://schemas.openxmlformats.org/officeDocument/2006/relationships/sharedStrings" Target="/xl/sharedStrings.xml" Id="R71ea9dbf035741e2" /><Relationship Type="http://schemas.openxmlformats.org/officeDocument/2006/relationships/worksheet" Target="/xl/worksheets/sheet1.xml" Id="Rfb25aac1ba064bce" /><Relationship Type="http://schemas.openxmlformats.org/officeDocument/2006/relationships/worksheet" Target="/xl/worksheets/sheet2.xml" Id="R09d0df023e264773" /><Relationship Type="http://schemas.openxmlformats.org/officeDocument/2006/relationships/worksheet" Target="/xl/worksheets/sheet3.xml" Id="R7e5d36d113054e6a" /><Relationship Type="http://schemas.openxmlformats.org/officeDocument/2006/relationships/worksheet" Target="/xl/worksheets/sheet4.xml" Id="Rec9ddfab200d42d7" /><Relationship Type="http://schemas.openxmlformats.org/officeDocument/2006/relationships/worksheet" Target="/xl/worksheets/sheet5.xml" Id="R8676ce66590547d1" /></Relationships>
</file>

<file path=xl/tables/table1.xml><?xml version="1.0" encoding="utf-8"?>
<x:table xmlns:x="http://schemas.openxmlformats.org/spreadsheetml/2006/main" id="1" name="HrEmployeesTable" displayName="HrEmployeesTable" ref="A5:Q25" headerRowCount="1" totalsRowCount="0" totalsRowShown="0">
  <x:tableColumns count="17">
    <x:tableColumn id="1" name="EmployeeId"/>
    <x:tableColumn id="2" name="GivenName"/>
    <x:tableColumn id="3" name="Surname"/>
    <x:tableColumn id="4" name="UserAlias"/>
    <x:tableColumn id="5" name="Department"/>
    <x:tableColumn id="6" name="JobTitle"/>
    <x:tableColumn id="7" name="EmployeeType"/>
    <x:tableColumn id="8" name="ManagerEmployeeId"/>
    <x:tableColumn id="9" name="Location"/>
    <x:tableColumn id="10" name="CountryCode"/>
    <x:tableColumn id="11" name="LifecycleAction"/>
    <x:tableColumn id="12" name="EmploymentStatus"/>
    <x:tableColumn id="13" name="StartDate"/>
    <x:tableColumn id="14" name="EndDate"/>
    <x:tableColumn id="15" name="CostCenter"/>
    <x:tableColumn id="16" name="SourceSystem"/>
    <x:tableColumn id="17" name="Record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artmentAccessMap" displayName="DepartmentAccessMap" ref="A5:F11" headerRowCount="1" totalsRowCount="0" totalsRowShown="0">
  <x:tableColumns count="6">
    <x:tableColumn id="1" name="Department"/>
    <x:tableColumn id="2" name="Dynamic group"/>
    <x:tableColumn id="3" name="License profile"/>
    <x:tableColumn id="4" name="Access package"/>
    <x:tableColumn id="5" name="Review owner"/>
    <x:tableColumn id="6" name="Rule expr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erTypeAccessMap" displayName="WorkerTypeAccessMap" ref="A14:F16" headerRowCount="1" totalsRowCount="0" totalsRowShown="0">
  <x:tableColumns count="6">
    <x:tableColumn id="1" name="Employee type"/>
    <x:tableColumn id="2" name="Dynamic group"/>
    <x:tableColumn id="3" name="License override"/>
    <x:tableColumn id="4" name="Access package"/>
    <x:tableColumn id="5" name="Review cadence"/>
    <x:tableColumn id="6" name="Rule expres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rValidationTable" displayName="HrValidationTable" ref="A5:H25" headerRowCount="1" totalsRowCount="0" totalsRowShown="0">
  <x:tableColumns count="8">
    <x:tableColumn id="1" name="EmployeeId"/>
    <x:tableColumn id="2" name="Duplicate ID"/>
    <x:tableColumn id="3" name="Manager reference"/>
    <x:tableColumn id="4" name="Department"/>
    <x:tableColumn id="5" name="Lifecycle action"/>
    <x:tableColumn id="6" name="Leaver end date"/>
    <x:tableColumn id="7" name="Source system"/>
    <x:tableColumn id="8" name="Overal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0d3ad32e9146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9c13976d024131" /><Relationship Type="http://schemas.openxmlformats.org/officeDocument/2006/relationships/table" Target="/xl/tables/table3.xml" Id="R4147bdd7f65741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abddf219464ba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3" hidden="0" customWidth="1"/>
    <x:col min="4" max="4" width="7" hidden="0" customWidth="1"/>
    <x:col min="5" max="5" width="15" hidden="0" customWidth="1"/>
    <x:col min="6" max="6" width="52" hidden="0" customWidth="1"/>
    <x:col min="7" max="7" width="18" hidden="0" customWidth="1"/>
    <x:col min="8" max="8" width="14" hidden="0" customWidth="1"/>
  </x:cols>
  <x:sheetData>
    <x:row r="2">
      <x:c r="A2" s="18" t="str">
        <x:v>Enterprise identity lifecycle source</x:v>
      </x:c>
      <x:c r="B2" s="19"/>
      <x:c r="C2" s="19"/>
      <x:c r="D2" s="19"/>
      <x:c r="E2" s="19"/>
      <x:c r="F2" s="19"/>
      <x:c r="G2" s="19"/>
      <x:c r="H2" s="19"/>
    </x:row>
    <x:row r="3">
      <x:c r="A3" s="20" t="str">
        <x:v>Synthetic HR input for validation, change planning and governed Microsoft Entra provisioning</x:v>
      </x:c>
      <x:c r="B3" s="19"/>
      <x:c r="C3" s="19"/>
      <x:c r="D3" s="19"/>
      <x:c r="E3" s="19"/>
      <x:c r="F3" s="19"/>
      <x:c r="G3" s="19"/>
      <x:c r="H3" s="19"/>
    </x:row>
    <x:row r="4">
      <x:c r="A4" s="19"/>
      <x:c r="B4" s="19"/>
      <x:c r="C4" s="19"/>
      <x:c r="D4" s="19"/>
      <x:c r="E4" s="19"/>
      <x:c r="F4" s="19"/>
      <x:c r="G4" s="19"/>
      <x:c r="H4" s="19"/>
    </x:row>
    <x:row r="5">
      <x:c r="A5" s="21" t="str">
        <x:v>Metric</x:v>
      </x:c>
      <x:c r="B5" s="22" t="str">
        <x:v>Value</x:v>
      </x:c>
      <x:c r="C5" s="19"/>
      <x:c r="D5" s="21" t="str">
        <x:v>Pipeline stages</x:v>
      </x:c>
      <x:c r="E5" s="23"/>
      <x:c r="F5" s="23"/>
      <x:c r="G5" s="23"/>
      <x:c r="H5" s="22"/>
    </x:row>
    <x:row r="6">
      <x:c r="A6" s="24" t="str">
        <x:v>HR records</x:v>
      </x:c>
      <x:c r="B6" s="25" t="n">
        <x:f>COUNTA(Employees!$A$6:$A$25)</x:f>
        <x:v>20</x:v>
      </x:c>
      <x:c r="C6" s="19"/>
      <x:c r="D6" s="24" t="str">
        <x:v>1</x:v>
      </x:c>
      <x:c r="E6" s="26" t="str">
        <x:v>Validate</x:v>
      </x:c>
      <x:c r="F6" s="26" t="str">
        <x:v>Schema, required values, unique IDs and manager references</x:v>
      </x:c>
      <x:c r="G6" s="26" t="str">
        <x:v>Offline</x:v>
      </x:c>
      <x:c r="H6" s="25" t="str">
        <x:v>Blocking</x:v>
      </x:c>
    </x:row>
    <x:row r="7">
      <x:c r="A7" s="24" t="str">
        <x:v>Create actions</x:v>
      </x:c>
      <x:c r="B7" s="25" t="n">
        <x:f>COUNTIF(Employees!$K$6:$K$25,"Create")</x:f>
        <x:v>17</x:v>
      </x:c>
      <x:c r="C7" s="19"/>
      <x:c r="D7" s="24" t="str">
        <x:v>2</x:v>
      </x:c>
      <x:c r="E7" s="26" t="str">
        <x:v>Plan</x:v>
      </x:c>
      <x:c r="F7" s="26" t="str">
        <x:v>Compare desired HR state with current Entra state</x:v>
      </x:c>
      <x:c r="G7" s="26" t="str">
        <x:v>Read-only Graph</x:v>
      </x:c>
      <x:c r="H7" s="25" t="str">
        <x:v>Blocking</x:v>
      </x:c>
    </x:row>
    <x:row r="8">
      <x:c r="A8" s="24" t="str">
        <x:v>Update actions</x:v>
      </x:c>
      <x:c r="B8" s="25" t="n">
        <x:f>COUNTIF(Employees!$K$6:$K$25,"Update")</x:f>
        <x:v>2</x:v>
      </x:c>
      <x:c r="C8" s="19"/>
      <x:c r="D8" s="24" t="str">
        <x:v>3</x:v>
      </x:c>
      <x:c r="E8" s="26" t="str">
        <x:v>Approve</x:v>
      </x:c>
      <x:c r="F8" s="26" t="str">
        <x:v>Human reviews change counts, exceptions and rollback</x:v>
      </x:c>
      <x:c r="G8" s="26" t="str">
        <x:v>Approval gate</x:v>
      </x:c>
      <x:c r="H8" s="25" t="str">
        <x:v>Blocking</x:v>
      </x:c>
    </x:row>
    <x:row r="9">
      <x:c r="A9" s="24" t="str">
        <x:v>Disable actions</x:v>
      </x:c>
      <x:c r="B9" s="25" t="n">
        <x:f>COUNTIF(Employees!$K$6:$K$25,"Disable")</x:f>
        <x:v>1</x:v>
      </x:c>
      <x:c r="C9" s="19"/>
      <x:c r="D9" s="24" t="str">
        <x:v>4</x:v>
      </x:c>
      <x:c r="E9" s="26" t="str">
        <x:v>Apply</x:v>
      </x:c>
      <x:c r="F9" s="26" t="str">
        <x:v>Create, update or disable only approved identities</x:v>
      </x:c>
      <x:c r="G9" s="26" t="str">
        <x:v>Graph write</x:v>
      </x:c>
      <x:c r="H9" s="25" t="str">
        <x:v>Controlled</x:v>
      </x:c>
    </x:row>
    <x:row r="10">
      <x:c r="A10" s="27" t="str">
        <x:v>Validation failures</x:v>
      </x:c>
      <x:c r="B10" s="28" t="n">
        <x:f>COUNTIF(Audit!$H$6:$H$25,"FAIL")</x:f>
        <x:v>0</x:v>
      </x:c>
      <x:c r="C10" s="19"/>
      <x:c r="D10" s="24" t="str">
        <x:v>5</x:v>
      </x:c>
      <x:c r="E10" s="26" t="str">
        <x:v>Verify</x:v>
      </x:c>
      <x:c r="F10" s="26" t="str">
        <x:v>Re-query Entra and compare observed with desired state</x:v>
      </x:c>
      <x:c r="G10" s="26" t="str">
        <x:v>Read-only Graph</x:v>
      </x:c>
      <x:c r="H10" s="25" t="str">
        <x:v>Blocking</x:v>
      </x:c>
    </x:row>
    <x:row r="11">
      <x:c r="A11" s="19"/>
      <x:c r="B11" s="19"/>
      <x:c r="C11" s="19"/>
      <x:c r="D11" s="27" t="str">
        <x:v>6</x:v>
      </x:c>
      <x:c r="E11" s="29" t="str">
        <x:v>Evidence</x:v>
      </x:c>
      <x:c r="F11" s="29" t="str">
        <x:v>Record sanitized results and rollback outcome</x:v>
      </x:c>
      <x:c r="G11" s="29" t="str">
        <x:v>Repository</x:v>
      </x:c>
      <x:c r="H11" s="28" t="str">
        <x:v>Required</x:v>
      </x:c>
    </x:row>
    <x:row r="12">
      <x:c r="A12" s="19"/>
      <x:c r="B12" s="19"/>
      <x:c r="C12" s="19"/>
      <x:c r="D12" s="19"/>
      <x:c r="E12" s="19"/>
      <x:c r="F12" s="19"/>
      <x:c r="G12" s="19"/>
      <x:c r="H12" s="19"/>
    </x:row>
    <x:row r="13">
      <x:c r="A13" s="30" t="str">
        <x:v>HR owns workforce facts. IAM owns the rules that translate those facts into groups, licenses and access.</x:v>
      </x:c>
      <x:c r="B13" s="19"/>
      <x:c r="C13" s="19"/>
      <x:c r="D13" s="19"/>
      <x:c r="E13" s="19"/>
      <x:c r="F13" s="19"/>
      <x:c r="G13" s="19"/>
      <x:c r="H13" s="19"/>
    </x:row>
  </x:sheetData>
  <x:mergeCells>
    <x:mergeCell ref="A2:H2"/>
    <x:mergeCell ref="A3:H3"/>
    <x:mergeCell ref="D5:H5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22" hidden="0" customWidth="1"/>
    <x:col min="5" max="5" width="14" hidden="0" customWidth="1"/>
    <x:col min="6" max="6" width="28" hidden="0" customWidth="1"/>
    <x:col min="7" max="7" width="14" hidden="0" customWidth="1"/>
    <x:col min="8" max="8" width="18" hidden="0" customWidth="1"/>
    <x:col min="9" max="9" width="13" hidden="0" customWidth="1"/>
    <x:col min="10" max="10" width="12" hidden="0" customWidth="1"/>
    <x:col min="11" max="11" width="16" hidden="0" customWidth="1"/>
    <x:col min="12" max="12" width="16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13" hidden="0" customWidth="1"/>
  </x:cols>
  <x:sheetData>
    <x:row r="2">
      <x:c r="A2" s="31" t="str">
        <x:v>HR workforce source</x:v>
      </x:c>
    </x:row>
    <x:row r="3">
      <x:c r="A3" s="2" t="str">
        <x:v>Editable synthetic records. Groups, licenses and roles are intentionally excluded from the HR-owned schema.</x:v>
      </x:c>
    </x:row>
    <x:row r="5">
      <x:c r="A5" s="40" t="str">
        <x:v>EmployeeId</x:v>
      </x:c>
      <x:c r="B5" s="40" t="str">
        <x:v>GivenName</x:v>
      </x:c>
      <x:c r="C5" s="40" t="str">
        <x:v>Surname</x:v>
      </x:c>
      <x:c r="D5" s="40" t="str">
        <x:v>UserAlias</x:v>
      </x:c>
      <x:c r="E5" s="40" t="str">
        <x:v>Department</x:v>
      </x:c>
      <x:c r="F5" s="40" t="str">
        <x:v>JobTitle</x:v>
      </x:c>
      <x:c r="G5" s="40" t="str">
        <x:v>EmployeeType</x:v>
      </x:c>
      <x:c r="H5" s="40" t="str">
        <x:v>ManagerEmployeeId</x:v>
      </x:c>
      <x:c r="I5" s="40" t="str">
        <x:v>Location</x:v>
      </x:c>
      <x:c r="J5" s="40" t="str">
        <x:v>CountryCode</x:v>
      </x:c>
      <x:c r="K5" s="40" t="str">
        <x:v>LifecycleAction</x:v>
      </x:c>
      <x:c r="L5" s="40" t="str">
        <x:v>EmploymentStatus</x:v>
      </x:c>
      <x:c r="M5" s="40" t="str">
        <x:v>StartDate</x:v>
      </x:c>
      <x:c r="N5" s="40" t="str">
        <x:v>EndDate</x:v>
      </x:c>
      <x:c r="O5" s="40" t="str">
        <x:v>CostCenter</x:v>
      </x:c>
      <x:c r="P5" s="40" t="str">
        <x:v>SourceSystem</x:v>
      </x:c>
      <x:c r="Q5" s="40" t="str">
        <x:v>RecordVersion</x:v>
      </x:c>
    </x:row>
    <x:row r="6">
      <x:c r="A6" s="44" t="str">
        <x:v>LAB-1000</x:v>
      </x:c>
      <x:c r="B6" s="44" t="str">
        <x:v>Alexander</x:v>
      </x:c>
      <x:c r="C6" s="44" t="str">
        <x:v>Novak</x:v>
      </x:c>
      <x:c r="D6" s="44" t="str">
        <x:v>alexander.novak</x:v>
      </x:c>
      <x:c r="E6" s="44" t="str">
        <x:v>Executive</x:v>
      </x:c>
      <x:c r="F6" s="44" t="str">
        <x:v>Chief Operating Officer</x:v>
      </x:c>
      <x:c r="G6" s="44" t="str">
        <x:v>Employee</x:v>
      </x:c>
      <x:c r="H6" s="44" t="str"/>
      <x:c r="I6" s="44" t="str">
        <x:v>Sofia</x:v>
      </x:c>
      <x:c r="J6" s="44" t="str">
        <x:v>BG</x:v>
      </x:c>
      <x:c r="K6" s="44" t="str">
        <x:v>Create</x:v>
      </x:c>
      <x:c r="L6" s="44" t="str">
        <x:v>Active</x:v>
      </x:c>
      <x:c r="M6" s="45" t="n">
        <x:v>46266</x:v>
      </x:c>
      <x:c r="N6" s="45"/>
      <x:c r="O6" s="44" t="str">
        <x:v>CC-100</x:v>
      </x:c>
      <x:c r="P6" s="44" t="str">
        <x:v>HR-LAB</x:v>
      </x:c>
      <x:c r="Q6" s="46" t="n">
        <x:v>1</x:v>
      </x:c>
    </x:row>
    <x:row r="7">
      <x:c r="A7" s="44" t="str">
        <x:v>LAB-1100</x:v>
      </x:c>
      <x:c r="B7" s="44" t="str">
        <x:v>Maya</x:v>
      </x:c>
      <x:c r="C7" s="44" t="str">
        <x:v>Ivanova</x:v>
      </x:c>
      <x:c r="D7" s="44" t="str">
        <x:v>maya.ivanova</x:v>
      </x:c>
      <x:c r="E7" s="44" t="str">
        <x:v>HR</x:v>
      </x:c>
      <x:c r="F7" s="44" t="str">
        <x:v>HR Director</x:v>
      </x:c>
      <x:c r="G7" s="44" t="str">
        <x:v>Employee</x:v>
      </x:c>
      <x:c r="H7" s="44" t="str">
        <x:v>LAB-1000</x:v>
      </x:c>
      <x:c r="I7" s="44" t="str">
        <x:v>Sofia</x:v>
      </x:c>
      <x:c r="J7" s="44" t="str">
        <x:v>BG</x:v>
      </x:c>
      <x:c r="K7" s="44" t="str">
        <x:v>Create</x:v>
      </x:c>
      <x:c r="L7" s="44" t="str">
        <x:v>Active</x:v>
      </x:c>
      <x:c r="M7" s="45" t="n">
        <x:v>46266</x:v>
      </x:c>
      <x:c r="N7" s="45"/>
      <x:c r="O7" s="44" t="str">
        <x:v>CC-110</x:v>
      </x:c>
      <x:c r="P7" s="44" t="str">
        <x:v>HR-LAB</x:v>
      </x:c>
      <x:c r="Q7" s="46" t="n">
        <x:v>1</x:v>
      </x:c>
    </x:row>
    <x:row r="8">
      <x:c r="A8" s="44" t="str">
        <x:v>LAB-1101</x:v>
      </x:c>
      <x:c r="B8" s="44" t="str">
        <x:v>Nikolai</x:v>
      </x:c>
      <x:c r="C8" s="44" t="str">
        <x:v>Petrov</x:v>
      </x:c>
      <x:c r="D8" s="44" t="str">
        <x:v>nikolai.petrov</x:v>
      </x:c>
      <x:c r="E8" s="44" t="str">
        <x:v>HR</x:v>
      </x:c>
      <x:c r="F8" s="44" t="str">
        <x:v>HR Specialist</x:v>
      </x:c>
      <x:c r="G8" s="44" t="str">
        <x:v>Employee</x:v>
      </x:c>
      <x:c r="H8" s="44" t="str">
        <x:v>LAB-1100</x:v>
      </x:c>
      <x:c r="I8" s="44" t="str">
        <x:v>Varna</x:v>
      </x:c>
      <x:c r="J8" s="44" t="str">
        <x:v>BG</x:v>
      </x:c>
      <x:c r="K8" s="44" t="str">
        <x:v>Create</x:v>
      </x:c>
      <x:c r="L8" s="44" t="str">
        <x:v>Active</x:v>
      </x:c>
      <x:c r="M8" s="45" t="n">
        <x:v>46272</x:v>
      </x:c>
      <x:c r="N8" s="45"/>
      <x:c r="O8" s="44" t="str">
        <x:v>CC-110</x:v>
      </x:c>
      <x:c r="P8" s="44" t="str">
        <x:v>HR-LAB</x:v>
      </x:c>
      <x:c r="Q8" s="46" t="n">
        <x:v>1</x:v>
      </x:c>
    </x:row>
    <x:row r="9">
      <x:c r="A9" s="44" t="str">
        <x:v>LAB-1200</x:v>
      </x:c>
      <x:c r="B9" s="44" t="str">
        <x:v>Elena</x:v>
      </x:c>
      <x:c r="C9" s="44" t="str">
        <x:v>Marinova</x:v>
      </x:c>
      <x:c r="D9" s="44" t="str">
        <x:v>elena.marinova</x:v>
      </x:c>
      <x:c r="E9" s="44" t="str">
        <x:v>Finance</x:v>
      </x:c>
      <x:c r="F9" s="44" t="str">
        <x:v>Finance Director</x:v>
      </x:c>
      <x:c r="G9" s="44" t="str">
        <x:v>Employee</x:v>
      </x:c>
      <x:c r="H9" s="44" t="str">
        <x:v>LAB-1000</x:v>
      </x:c>
      <x:c r="I9" s="44" t="str">
        <x:v>Sofia</x:v>
      </x:c>
      <x:c r="J9" s="44" t="str">
        <x:v>BG</x:v>
      </x:c>
      <x:c r="K9" s="44" t="str">
        <x:v>Create</x:v>
      </x:c>
      <x:c r="L9" s="44" t="str">
        <x:v>Active</x:v>
      </x:c>
      <x:c r="M9" s="45" t="n">
        <x:v>46266</x:v>
      </x:c>
      <x:c r="N9" s="45"/>
      <x:c r="O9" s="44" t="str">
        <x:v>CC-120</x:v>
      </x:c>
      <x:c r="P9" s="44" t="str">
        <x:v>HR-LAB</x:v>
      </x:c>
      <x:c r="Q9" s="46" t="n">
        <x:v>1</x:v>
      </x:c>
    </x:row>
    <x:row r="10">
      <x:c r="A10" s="44" t="str">
        <x:v>LAB-1201</x:v>
      </x:c>
      <x:c r="B10" s="44" t="str">
        <x:v>Adele</x:v>
      </x:c>
      <x:c r="C10" s="44" t="str">
        <x:v>Vance</x:v>
      </x:c>
      <x:c r="D10" s="44" t="str">
        <x:v>adele.vance</x:v>
      </x:c>
      <x:c r="E10" s="44" t="str">
        <x:v>Finance</x:v>
      </x:c>
      <x:c r="F10" s="44" t="str">
        <x:v>Finance Analyst</x:v>
      </x:c>
      <x:c r="G10" s="44" t="str">
        <x:v>Employee</x:v>
      </x:c>
      <x:c r="H10" s="44" t="str">
        <x:v>LAB-1200</x:v>
      </x:c>
      <x:c r="I10" s="44" t="str">
        <x:v>Sofia</x:v>
      </x:c>
      <x:c r="J10" s="44" t="str">
        <x:v>BG</x:v>
      </x:c>
      <x:c r="K10" s="44" t="str">
        <x:v>Update</x:v>
      </x:c>
      <x:c r="L10" s="44" t="str">
        <x:v>Active</x:v>
      </x:c>
      <x:c r="M10" s="45" t="n">
        <x:v>46266</x:v>
      </x:c>
      <x:c r="N10" s="45"/>
      <x:c r="O10" s="44" t="str">
        <x:v>CC-120</x:v>
      </x:c>
      <x:c r="P10" s="44" t="str">
        <x:v>HR-LAB</x:v>
      </x:c>
      <x:c r="Q10" s="46" t="n">
        <x:v>2</x:v>
      </x:c>
    </x:row>
    <x:row r="11">
      <x:c r="A11" s="44" t="str">
        <x:v>LAB-1202</x:v>
      </x:c>
      <x:c r="B11" s="44" t="str">
        <x:v>Daniel</x:v>
      </x:c>
      <x:c r="C11" s="44" t="str">
        <x:v>Popescu</x:v>
      </x:c>
      <x:c r="D11" s="44" t="str">
        <x:v>daniel.popescu</x:v>
      </x:c>
      <x:c r="E11" s="44" t="str">
        <x:v>Finance</x:v>
      </x:c>
      <x:c r="F11" s="44" t="str">
        <x:v>Accountant</x:v>
      </x:c>
      <x:c r="G11" s="44" t="str">
        <x:v>Employee</x:v>
      </x:c>
      <x:c r="H11" s="44" t="str">
        <x:v>LAB-1200</x:v>
      </x:c>
      <x:c r="I11" s="44" t="str">
        <x:v>Bucharest</x:v>
      </x:c>
      <x:c r="J11" s="44" t="str">
        <x:v>RO</x:v>
      </x:c>
      <x:c r="K11" s="44" t="str">
        <x:v>Create</x:v>
      </x:c>
      <x:c r="L11" s="44" t="str">
        <x:v>Active</x:v>
      </x:c>
      <x:c r="M11" s="45" t="n">
        <x:v>46279</x:v>
      </x:c>
      <x:c r="N11" s="45"/>
      <x:c r="O11" s="44" t="str">
        <x:v>CC-120</x:v>
      </x:c>
      <x:c r="P11" s="44" t="str">
        <x:v>HR-LAB</x:v>
      </x:c>
      <x:c r="Q11" s="46" t="n">
        <x:v>1</x:v>
      </x:c>
    </x:row>
    <x:row r="12">
      <x:c r="A12" s="44" t="str">
        <x:v>LAB-1300</x:v>
      </x:c>
      <x:c r="B12" s="44" t="str">
        <x:v>Stefan</x:v>
      </x:c>
      <x:c r="C12" s="44" t="str">
        <x:v>Dimitrov</x:v>
      </x:c>
      <x:c r="D12" s="44" t="str">
        <x:v>stefan.dimitrov</x:v>
      </x:c>
      <x:c r="E12" s="44" t="str">
        <x:v>IT</x:v>
      </x:c>
      <x:c r="F12" s="44" t="str">
        <x:v>IT Director</x:v>
      </x:c>
      <x:c r="G12" s="44" t="str">
        <x:v>Employee</x:v>
      </x:c>
      <x:c r="H12" s="44" t="str">
        <x:v>LAB-1000</x:v>
      </x:c>
      <x:c r="I12" s="44" t="str">
        <x:v>Sofia</x:v>
      </x:c>
      <x:c r="J12" s="44" t="str">
        <x:v>BG</x:v>
      </x:c>
      <x:c r="K12" s="44" t="str">
        <x:v>Create</x:v>
      </x:c>
      <x:c r="L12" s="44" t="str">
        <x:v>Active</x:v>
      </x:c>
      <x:c r="M12" s="45" t="n">
        <x:v>46266</x:v>
      </x:c>
      <x:c r="N12" s="45"/>
      <x:c r="O12" s="44" t="str">
        <x:v>CC-130</x:v>
      </x:c>
      <x:c r="P12" s="44" t="str">
        <x:v>HR-LAB</x:v>
      </x:c>
      <x:c r="Q12" s="46" t="n">
        <x:v>1</x:v>
      </x:c>
    </x:row>
    <x:row r="13">
      <x:c r="A13" s="44" t="str">
        <x:v>LAB-1301</x:v>
      </x:c>
      <x:c r="B13" s="44" t="str">
        <x:v>Chris</x:v>
      </x:c>
      <x:c r="C13" s="44" t="str">
        <x:v>Green</x:v>
      </x:c>
      <x:c r="D13" s="44" t="str">
        <x:v>chris.green</x:v>
      </x:c>
      <x:c r="E13" s="44" t="str">
        <x:v>IT</x:v>
      </x:c>
      <x:c r="F13" s="44" t="str">
        <x:v>Identity Support Analyst</x:v>
      </x:c>
      <x:c r="G13" s="44" t="str">
        <x:v>Employee</x:v>
      </x:c>
      <x:c r="H13" s="44" t="str">
        <x:v>LAB-1300</x:v>
      </x:c>
      <x:c r="I13" s="44" t="str">
        <x:v>Varna</x:v>
      </x:c>
      <x:c r="J13" s="44" t="str">
        <x:v>BG</x:v>
      </x:c>
      <x:c r="K13" s="44" t="str">
        <x:v>Update</x:v>
      </x:c>
      <x:c r="L13" s="44" t="str">
        <x:v>Active</x:v>
      </x:c>
      <x:c r="M13" s="45" t="n">
        <x:v>46266</x:v>
      </x:c>
      <x:c r="N13" s="45"/>
      <x:c r="O13" s="44" t="str">
        <x:v>CC-130</x:v>
      </x:c>
      <x:c r="P13" s="44" t="str">
        <x:v>HR-LAB</x:v>
      </x:c>
      <x:c r="Q13" s="46" t="n">
        <x:v>2</x:v>
      </x:c>
    </x:row>
    <x:row r="14">
      <x:c r="A14" s="44" t="str">
        <x:v>LAB-1302</x:v>
      </x:c>
      <x:c r="B14" s="44" t="str">
        <x:v>Irina</x:v>
      </x:c>
      <x:c r="C14" s="44" t="str">
        <x:v>Kovacs</x:v>
      </x:c>
      <x:c r="D14" s="44" t="str">
        <x:v>irina.kovacs</x:v>
      </x:c>
      <x:c r="E14" s="44" t="str">
        <x:v>IT</x:v>
      </x:c>
      <x:c r="F14" s="44" t="str">
        <x:v>Security Engineer</x:v>
      </x:c>
      <x:c r="G14" s="44" t="str">
        <x:v>Employee</x:v>
      </x:c>
      <x:c r="H14" s="44" t="str">
        <x:v>LAB-1300</x:v>
      </x:c>
      <x:c r="I14" s="44" t="str">
        <x:v>Bucharest</x:v>
      </x:c>
      <x:c r="J14" s="44" t="str">
        <x:v>RO</x:v>
      </x:c>
      <x:c r="K14" s="44" t="str">
        <x:v>Create</x:v>
      </x:c>
      <x:c r="L14" s="44" t="str">
        <x:v>Active</x:v>
      </x:c>
      <x:c r="M14" s="45" t="n">
        <x:v>46273</x:v>
      </x:c>
      <x:c r="N14" s="45"/>
      <x:c r="O14" s="44" t="str">
        <x:v>CC-130</x:v>
      </x:c>
      <x:c r="P14" s="44" t="str">
        <x:v>HR-LAB</x:v>
      </x:c>
      <x:c r="Q14" s="46" t="n">
        <x:v>1</x:v>
      </x:c>
    </x:row>
    <x:row r="15">
      <x:c r="A15" s="44" t="str">
        <x:v>LAB-1303</x:v>
      </x:c>
      <x:c r="B15" s="44" t="str">
        <x:v>Georgi</x:v>
      </x:c>
      <x:c r="C15" s="44" t="str">
        <x:v>Stoyanov</x:v>
      </x:c>
      <x:c r="D15" s="44" t="str">
        <x:v>georgi.stoyanov</x:v>
      </x:c>
      <x:c r="E15" s="44" t="str">
        <x:v>IT</x:v>
      </x:c>
      <x:c r="F15" s="44" t="str">
        <x:v>Service Desk Analyst</x:v>
      </x:c>
      <x:c r="G15" s="44" t="str">
        <x:v>Employee</x:v>
      </x:c>
      <x:c r="H15" s="44" t="str">
        <x:v>LAB-1300</x:v>
      </x:c>
      <x:c r="I15" s="44" t="str">
        <x:v>Varna</x:v>
      </x:c>
      <x:c r="J15" s="44" t="str">
        <x:v>BG</x:v>
      </x:c>
      <x:c r="K15" s="44" t="str">
        <x:v>Create</x:v>
      </x:c>
      <x:c r="L15" s="44" t="str">
        <x:v>Active</x:v>
      </x:c>
      <x:c r="M15" s="45" t="n">
        <x:v>46286</x:v>
      </x:c>
      <x:c r="N15" s="45"/>
      <x:c r="O15" s="44" t="str">
        <x:v>CC-130</x:v>
      </x:c>
      <x:c r="P15" s="44" t="str">
        <x:v>HR-LAB</x:v>
      </x:c>
      <x:c r="Q15" s="46" t="n">
        <x:v>1</x:v>
      </x:c>
    </x:row>
    <x:row r="16">
      <x:c r="A16" s="44" t="str">
        <x:v>LAB-1400</x:v>
      </x:c>
      <x:c r="B16" s="44" t="str">
        <x:v>Sara</x:v>
      </x:c>
      <x:c r="C16" s="44" t="str">
        <x:v>Muller</x:v>
      </x:c>
      <x:c r="D16" s="44" t="str">
        <x:v>sara.muller</x:v>
      </x:c>
      <x:c r="E16" s="44" t="str">
        <x:v>Sales</x:v>
      </x:c>
      <x:c r="F16" s="44" t="str">
        <x:v>Sales Director</x:v>
      </x:c>
      <x:c r="G16" s="44" t="str">
        <x:v>Employee</x:v>
      </x:c>
      <x:c r="H16" s="44" t="str">
        <x:v>LAB-1000</x:v>
      </x:c>
      <x:c r="I16" s="44" t="str">
        <x:v>Sofia</x:v>
      </x:c>
      <x:c r="J16" s="44" t="str">
        <x:v>BG</x:v>
      </x:c>
      <x:c r="K16" s="44" t="str">
        <x:v>Create</x:v>
      </x:c>
      <x:c r="L16" s="44" t="str">
        <x:v>Active</x:v>
      </x:c>
      <x:c r="M16" s="45" t="n">
        <x:v>46266</x:v>
      </x:c>
      <x:c r="N16" s="45"/>
      <x:c r="O16" s="44" t="str">
        <x:v>CC-140</x:v>
      </x:c>
      <x:c r="P16" s="44" t="str">
        <x:v>HR-LAB</x:v>
      </x:c>
      <x:c r="Q16" s="46" t="n">
        <x:v>1</x:v>
      </x:c>
    </x:row>
    <x:row r="17">
      <x:c r="A17" s="44" t="str">
        <x:v>LAB-1401</x:v>
      </x:c>
      <x:c r="B17" s="44" t="str">
        <x:v>Petar</x:v>
      </x:c>
      <x:c r="C17" s="44" t="str">
        <x:v>Kolev</x:v>
      </x:c>
      <x:c r="D17" s="44" t="str">
        <x:v>petar.kolev</x:v>
      </x:c>
      <x:c r="E17" s="44" t="str">
        <x:v>Sales</x:v>
      </x:c>
      <x:c r="F17" s="44" t="str">
        <x:v>Sales Executive</x:v>
      </x:c>
      <x:c r="G17" s="44" t="str">
        <x:v>Employee</x:v>
      </x:c>
      <x:c r="H17" s="44" t="str">
        <x:v>LAB-1400</x:v>
      </x:c>
      <x:c r="I17" s="44" t="str">
        <x:v>Varna</x:v>
      </x:c>
      <x:c r="J17" s="44" t="str">
        <x:v>BG</x:v>
      </x:c>
      <x:c r="K17" s="44" t="str">
        <x:v>Create</x:v>
      </x:c>
      <x:c r="L17" s="44" t="str">
        <x:v>Active</x:v>
      </x:c>
      <x:c r="M17" s="45" t="n">
        <x:v>46280</x:v>
      </x:c>
      <x:c r="N17" s="45"/>
      <x:c r="O17" s="44" t="str">
        <x:v>CC-140</x:v>
      </x:c>
      <x:c r="P17" s="44" t="str">
        <x:v>HR-LAB</x:v>
      </x:c>
      <x:c r="Q17" s="46" t="n">
        <x:v>1</x:v>
      </x:c>
    </x:row>
    <x:row r="18">
      <x:c r="A18" s="44" t="str">
        <x:v>LAB-1402</x:v>
      </x:c>
      <x:c r="B18" s="44" t="str">
        <x:v>Ana</x:v>
      </x:c>
      <x:c r="C18" s="44" t="str">
        <x:v>Ionescu</x:v>
      </x:c>
      <x:c r="D18" s="44" t="str">
        <x:v>ana.ionescu</x:v>
      </x:c>
      <x:c r="E18" s="44" t="str">
        <x:v>Sales</x:v>
      </x:c>
      <x:c r="F18" s="44" t="str">
        <x:v>Sales Executive</x:v>
      </x:c>
      <x:c r="G18" s="44" t="str">
        <x:v>Employee</x:v>
      </x:c>
      <x:c r="H18" s="44" t="str">
        <x:v>LAB-1400</x:v>
      </x:c>
      <x:c r="I18" s="44" t="str">
        <x:v>Bucharest</x:v>
      </x:c>
      <x:c r="J18" s="44" t="str">
        <x:v>RO</x:v>
      </x:c>
      <x:c r="K18" s="44" t="str">
        <x:v>Create</x:v>
      </x:c>
      <x:c r="L18" s="44" t="str">
        <x:v>Active</x:v>
      </x:c>
      <x:c r="M18" s="45" t="n">
        <x:v>46280</x:v>
      </x:c>
      <x:c r="N18" s="45"/>
      <x:c r="O18" s="44" t="str">
        <x:v>CC-140</x:v>
      </x:c>
      <x:c r="P18" s="44" t="str">
        <x:v>HR-LAB</x:v>
      </x:c>
      <x:c r="Q18" s="46" t="n">
        <x:v>1</x:v>
      </x:c>
    </x:row>
    <x:row r="19">
      <x:c r="A19" s="44" t="str">
        <x:v>LAB-1500</x:v>
      </x:c>
      <x:c r="B19" s="44" t="str">
        <x:v>Viktor</x:v>
      </x:c>
      <x:c r="C19" s="44" t="str">
        <x:v>Georgiev</x:v>
      </x:c>
      <x:c r="D19" s="44" t="str">
        <x:v>viktor.georgiev</x:v>
      </x:c>
      <x:c r="E19" s="44" t="str">
        <x:v>Operations</x:v>
      </x:c>
      <x:c r="F19" s="44" t="str">
        <x:v>Operations Manager</x:v>
      </x:c>
      <x:c r="G19" s="44" t="str">
        <x:v>Employee</x:v>
      </x:c>
      <x:c r="H19" s="44" t="str">
        <x:v>LAB-1000</x:v>
      </x:c>
      <x:c r="I19" s="44" t="str">
        <x:v>Sofia</x:v>
      </x:c>
      <x:c r="J19" s="44" t="str">
        <x:v>BG</x:v>
      </x:c>
      <x:c r="K19" s="44" t="str">
        <x:v>Create</x:v>
      </x:c>
      <x:c r="L19" s="44" t="str">
        <x:v>Active</x:v>
      </x:c>
      <x:c r="M19" s="45" t="n">
        <x:v>46266</x:v>
      </x:c>
      <x:c r="N19" s="45"/>
      <x:c r="O19" s="44" t="str">
        <x:v>CC-150</x:v>
      </x:c>
      <x:c r="P19" s="44" t="str">
        <x:v>HR-LAB</x:v>
      </x:c>
      <x:c r="Q19" s="46" t="n">
        <x:v>1</x:v>
      </x:c>
    </x:row>
    <x:row r="20">
      <x:c r="A20" s="44" t="str">
        <x:v>LAB-1501</x:v>
      </x:c>
      <x:c r="B20" s="44" t="str">
        <x:v>Maria</x:v>
      </x:c>
      <x:c r="C20" s="44" t="str">
        <x:v>Radu</x:v>
      </x:c>
      <x:c r="D20" s="44" t="str">
        <x:v>maria.radu</x:v>
      </x:c>
      <x:c r="E20" s="44" t="str">
        <x:v>Operations</x:v>
      </x:c>
      <x:c r="F20" s="44" t="str">
        <x:v>Operations Specialist</x:v>
      </x:c>
      <x:c r="G20" s="44" t="str">
        <x:v>Employee</x:v>
      </x:c>
      <x:c r="H20" s="44" t="str">
        <x:v>LAB-1500</x:v>
      </x:c>
      <x:c r="I20" s="44" t="str">
        <x:v>Bucharest</x:v>
      </x:c>
      <x:c r="J20" s="44" t="str">
        <x:v>RO</x:v>
      </x:c>
      <x:c r="K20" s="44" t="str">
        <x:v>Create</x:v>
      </x:c>
      <x:c r="L20" s="44" t="str">
        <x:v>Active</x:v>
      </x:c>
      <x:c r="M20" s="45" t="n">
        <x:v>46283</x:v>
      </x:c>
      <x:c r="N20" s="45"/>
      <x:c r="O20" s="44" t="str">
        <x:v>CC-150</x:v>
      </x:c>
      <x:c r="P20" s="44" t="str">
        <x:v>HR-LAB</x:v>
      </x:c>
      <x:c r="Q20" s="46" t="n">
        <x:v>1</x:v>
      </x:c>
    </x:row>
    <x:row r="21">
      <x:c r="A21" s="44" t="str">
        <x:v>LAB-1502</x:v>
      </x:c>
      <x:c r="B21" s="44" t="str">
        <x:v>Kalin</x:v>
      </x:c>
      <x:c r="C21" s="44" t="str">
        <x:v>Todorov</x:v>
      </x:c>
      <x:c r="D21" s="44" t="str">
        <x:v>kalin.todorov</x:v>
      </x:c>
      <x:c r="E21" s="44" t="str">
        <x:v>Operations</x:v>
      </x:c>
      <x:c r="F21" s="44" t="str">
        <x:v>Warehouse Coordinator</x:v>
      </x:c>
      <x:c r="G21" s="44" t="str">
        <x:v>Employee</x:v>
      </x:c>
      <x:c r="H21" s="44" t="str">
        <x:v>LAB-1500</x:v>
      </x:c>
      <x:c r="I21" s="44" t="str">
        <x:v>Varna</x:v>
      </x:c>
      <x:c r="J21" s="44" t="str">
        <x:v>BG</x:v>
      </x:c>
      <x:c r="K21" s="44" t="str">
        <x:v>Create</x:v>
      </x:c>
      <x:c r="L21" s="44" t="str">
        <x:v>Active</x:v>
      </x:c>
      <x:c r="M21" s="45" t="n">
        <x:v>46283</x:v>
      </x:c>
      <x:c r="N21" s="45"/>
      <x:c r="O21" s="44" t="str">
        <x:v>CC-150</x:v>
      </x:c>
      <x:c r="P21" s="44" t="str">
        <x:v>HR-LAB</x:v>
      </x:c>
      <x:c r="Q21" s="46" t="n">
        <x:v>1</x:v>
      </x:c>
    </x:row>
    <x:row r="22">
      <x:c r="A22" s="44" t="str">
        <x:v>LAB-1600</x:v>
      </x:c>
      <x:c r="B22" s="44" t="str">
        <x:v>Lucas</x:v>
      </x:c>
      <x:c r="C22" s="44" t="str">
        <x:v>Martin</x:v>
      </x:c>
      <x:c r="D22" s="44" t="str">
        <x:v>lucas.martin</x:v>
      </x:c>
      <x:c r="E22" s="44" t="str">
        <x:v>IT</x:v>
      </x:c>
      <x:c r="F22" s="44" t="str">
        <x:v>Application Developer</x:v>
      </x:c>
      <x:c r="G22" s="44" t="str">
        <x:v>Contractor</x:v>
      </x:c>
      <x:c r="H22" s="44" t="str">
        <x:v>LAB-1300</x:v>
      </x:c>
      <x:c r="I22" s="44" t="str">
        <x:v>Sofia</x:v>
      </x:c>
      <x:c r="J22" s="44" t="str">
        <x:v>BG</x:v>
      </x:c>
      <x:c r="K22" s="44" t="str">
        <x:v>Create</x:v>
      </x:c>
      <x:c r="L22" s="44" t="str">
        <x:v>Active</x:v>
      </x:c>
      <x:c r="M22" s="45" t="n">
        <x:v>46285</x:v>
      </x:c>
      <x:c r="N22" s="45" t="n">
        <x:v>46376</x:v>
      </x:c>
      <x:c r="O22" s="44" t="str">
        <x:v>CC-130</x:v>
      </x:c>
      <x:c r="P22" s="44" t="str">
        <x:v>HR-LAB</x:v>
      </x:c>
      <x:c r="Q22" s="46" t="n">
        <x:v>1</x:v>
      </x:c>
    </x:row>
    <x:row r="23">
      <x:c r="A23" s="44" t="str">
        <x:v>LAB-1601</x:v>
      </x:c>
      <x:c r="B23" s="44" t="str">
        <x:v>Eva</x:v>
      </x:c>
      <x:c r="C23" s="44" t="str">
        <x:v>Horvat</x:v>
      </x:c>
      <x:c r="D23" s="44" t="str">
        <x:v>eva.horvat</x:v>
      </x:c>
      <x:c r="E23" s="44" t="str">
        <x:v>Finance</x:v>
      </x:c>
      <x:c r="F23" s="44" t="str">
        <x:v>External Auditor</x:v>
      </x:c>
      <x:c r="G23" s="44" t="str">
        <x:v>Contractor</x:v>
      </x:c>
      <x:c r="H23" s="44" t="str">
        <x:v>LAB-1200</x:v>
      </x:c>
      <x:c r="I23" s="44" t="str">
        <x:v>Sofia</x:v>
      </x:c>
      <x:c r="J23" s="44" t="str">
        <x:v>BG</x:v>
      </x:c>
      <x:c r="K23" s="44" t="str">
        <x:v>Create</x:v>
      </x:c>
      <x:c r="L23" s="44" t="str">
        <x:v>Active</x:v>
      </x:c>
      <x:c r="M23" s="45" t="n">
        <x:v>46285</x:v>
      </x:c>
      <x:c r="N23" s="45" t="n">
        <x:v>46356</x:v>
      </x:c>
      <x:c r="O23" s="44" t="str">
        <x:v>CC-120</x:v>
      </x:c>
      <x:c r="P23" s="44" t="str">
        <x:v>HR-LAB</x:v>
      </x:c>
      <x:c r="Q23" s="46" t="n">
        <x:v>1</x:v>
      </x:c>
    </x:row>
    <x:row r="24">
      <x:c r="A24" s="44" t="str">
        <x:v>LAB-1700</x:v>
      </x:c>
      <x:c r="B24" s="44" t="str">
        <x:v>Martin</x:v>
      </x:c>
      <x:c r="C24" s="44" t="str">
        <x:v>Iliev</x:v>
      </x:c>
      <x:c r="D24" s="44" t="str">
        <x:v>martin.iliev</x:v>
      </x:c>
      <x:c r="E24" s="44" t="str">
        <x:v>IT</x:v>
      </x:c>
      <x:c r="F24" s="44" t="str">
        <x:v>Junior Identity Analyst</x:v>
      </x:c>
      <x:c r="G24" s="44" t="str">
        <x:v>Employee</x:v>
      </x:c>
      <x:c r="H24" s="44" t="str">
        <x:v>LAB-1300</x:v>
      </x:c>
      <x:c r="I24" s="44" t="str">
        <x:v>Varna</x:v>
      </x:c>
      <x:c r="J24" s="44" t="str">
        <x:v>BG</x:v>
      </x:c>
      <x:c r="K24" s="44" t="str">
        <x:v>Create</x:v>
      </x:c>
      <x:c r="L24" s="44" t="str">
        <x:v>PreHire</x:v>
      </x:c>
      <x:c r="M24" s="45" t="n">
        <x:v>46293</x:v>
      </x:c>
      <x:c r="N24" s="45"/>
      <x:c r="O24" s="44" t="str">
        <x:v>CC-130</x:v>
      </x:c>
      <x:c r="P24" s="44" t="str">
        <x:v>HR-LAB</x:v>
      </x:c>
      <x:c r="Q24" s="46" t="n">
        <x:v>1</x:v>
      </x:c>
    </x:row>
    <x:row r="25">
      <x:c r="A25" s="44" t="str">
        <x:v>LAB-1800</x:v>
      </x:c>
      <x:c r="B25" s="44" t="str">
        <x:v>Olivia</x:v>
      </x:c>
      <x:c r="C25" s="44" t="str">
        <x:v>Brown</x:v>
      </x:c>
      <x:c r="D25" s="44" t="str">
        <x:v>olivia.brown</x:v>
      </x:c>
      <x:c r="E25" s="44" t="str">
        <x:v>Sales</x:v>
      </x:c>
      <x:c r="F25" s="44" t="str">
        <x:v>Sales Executive</x:v>
      </x:c>
      <x:c r="G25" s="44" t="str">
        <x:v>Employee</x:v>
      </x:c>
      <x:c r="H25" s="44" t="str">
        <x:v>LAB-1400</x:v>
      </x:c>
      <x:c r="I25" s="44" t="str">
        <x:v>Sofia</x:v>
      </x:c>
      <x:c r="J25" s="44" t="str">
        <x:v>BG</x:v>
      </x:c>
      <x:c r="K25" s="44" t="str">
        <x:v>Disable</x:v>
      </x:c>
      <x:c r="L25" s="44" t="str">
        <x:v>LeaveScheduled</x:v>
      </x:c>
      <x:c r="M25" s="45" t="n">
        <x:v>46054</x:v>
      </x:c>
      <x:c r="N25" s="45" t="n">
        <x:v>46295</x:v>
      </x:c>
      <x:c r="O25" s="44" t="str">
        <x:v>CC-140</x:v>
      </x:c>
      <x:c r="P25" s="44" t="str">
        <x:v>HR-LAB</x:v>
      </x:c>
      <x:c r="Q25" s="46" t="n">
        <x:v>4</x:v>
      </x:c>
    </x:row>
  </x:sheetData>
  <x:mergeCells>
    <x:mergeCell ref="A2:Q2"/>
    <x:mergeCell ref="A3:Q3"/>
  </x:mergeCells>
  <x:dataValidations count="7">
    <x:dataValidation type="list" sqref="E6:E205">
      <x:formula1>Reference!$A$5:$A$10</x:formula1>
    </x:dataValidation>
    <x:dataValidation type="list" sqref="G6:G205">
      <x:formula1>Reference!$B$5:$B$6</x:formula1>
    </x:dataValidation>
    <x:dataValidation type="list" sqref="I6:I205">
      <x:formula1>Reference!$E$5:$E$7</x:formula1>
    </x:dataValidation>
    <x:dataValidation type="list" sqref="J6:J205">
      <x:formula1>Reference!$F$5:$F$6</x:formula1>
    </x:dataValidation>
    <x:dataValidation type="list" sqref="K6:K205">
      <x:formula1>Reference!$C$5:$C$7</x:formula1>
    </x:dataValidation>
    <x:dataValidation type="list" sqref="L6:L205">
      <x:formula1>Reference!$D$5:$D$7</x:formula1>
    </x:dataValidation>
    <x:dataValidation type="list" sqref="P6:P205">
      <x:formula1>Reference!$G$5:$G$5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0d3ad32e91467d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24" hidden="0" customWidth="1"/>
    <x:col min="5" max="5" width="22" hidden="0" customWidth="1"/>
    <x:col min="6" max="6" width="42" hidden="0" customWidth="1"/>
  </x:cols>
  <x:sheetData>
    <x:row r="2">
      <x:c r="A2" s="31" t="str">
        <x:v>IAM policy mapping</x:v>
      </x:c>
    </x:row>
    <x:row r="3">
      <x:c r="A3" s="2" t="str">
        <x:v>IAM-owned rules convert authoritative HR attributes into access. HR does not assign these controls directly.</x:v>
      </x:c>
    </x:row>
    <x:row r="5">
      <x:c r="A5" s="39" t="str">
        <x:v>Department</x:v>
      </x:c>
      <x:c r="B5" s="39" t="str">
        <x:v>Dynamic group</x:v>
      </x:c>
      <x:c r="C5" s="39" t="str">
        <x:v>License profile</x:v>
      </x:c>
      <x:c r="D5" s="39" t="str">
        <x:v>Access package</x:v>
      </x:c>
      <x:c r="E5" s="39" t="str">
        <x:v>Review owner</x:v>
      </x:c>
      <x:c r="F5" s="39" t="str">
        <x:v>Rule expression</x:v>
      </x:c>
    </x:row>
    <x:row r="6">
      <x:c r="A6" s="9" t="str">
        <x:v>Executive</x:v>
      </x:c>
      <x:c r="B6" s="9" t="str">
        <x:v>SG-DYN-Dept-Executive</x:v>
      </x:c>
      <x:c r="C6" s="9" t="str">
        <x:v>E5-Standard</x:v>
      </x:c>
      <x:c r="D6" s="9" t="str">
        <x:v>Executive baseline</x:v>
      </x:c>
      <x:c r="E6" s="9" t="str">
        <x:v>Identity Governance</x:v>
      </x:c>
      <x:c r="F6" s="9" t="str">
        <x:v>user.department -eq "Executive"</x:v>
      </x:c>
    </x:row>
    <x:row r="7">
      <x:c r="A7" s="9" t="str">
        <x:v>HR</x:v>
      </x:c>
      <x:c r="B7" s="9" t="str">
        <x:v>SG-DYN-Dept-HR</x:v>
      </x:c>
      <x:c r="C7" s="9" t="str">
        <x:v>E5-Standard</x:v>
      </x:c>
      <x:c r="D7" s="9" t="str">
        <x:v>HR baseline</x:v>
      </x:c>
      <x:c r="E7" s="9" t="str">
        <x:v>HR Director</x:v>
      </x:c>
      <x:c r="F7" s="9" t="str">
        <x:v>user.department -eq "HR"</x:v>
      </x:c>
    </x:row>
    <x:row r="8">
      <x:c r="A8" s="9" t="str">
        <x:v>Finance</x:v>
      </x:c>
      <x:c r="B8" s="9" t="str">
        <x:v>SG-DYN-Dept-Finance</x:v>
      </x:c>
      <x:c r="C8" s="9" t="str">
        <x:v>E5-Standard</x:v>
      </x:c>
      <x:c r="D8" s="9" t="str">
        <x:v>Finance baseline</x:v>
      </x:c>
      <x:c r="E8" s="9" t="str">
        <x:v>Finance Director</x:v>
      </x:c>
      <x:c r="F8" s="9" t="str">
        <x:v>user.department -eq "Finance"</x:v>
      </x:c>
    </x:row>
    <x:row r="9">
      <x:c r="A9" s="9" t="str">
        <x:v>IT</x:v>
      </x:c>
      <x:c r="B9" s="9" t="str">
        <x:v>SG-DYN-Dept-IT</x:v>
      </x:c>
      <x:c r="C9" s="9" t="str">
        <x:v>E5-Standard</x:v>
      </x:c>
      <x:c r="D9" s="9" t="str">
        <x:v>IT baseline</x:v>
      </x:c>
      <x:c r="E9" s="9" t="str">
        <x:v>IT Director</x:v>
      </x:c>
      <x:c r="F9" s="9" t="str">
        <x:v>user.department -eq "IT"</x:v>
      </x:c>
    </x:row>
    <x:row r="10">
      <x:c r="A10" s="9" t="str">
        <x:v>Sales</x:v>
      </x:c>
      <x:c r="B10" s="9" t="str">
        <x:v>SG-DYN-Dept-Sales</x:v>
      </x:c>
      <x:c r="C10" s="9" t="str">
        <x:v>E5-Standard</x:v>
      </x:c>
      <x:c r="D10" s="9" t="str">
        <x:v>Sales baseline</x:v>
      </x:c>
      <x:c r="E10" s="9" t="str">
        <x:v>Sales Director</x:v>
      </x:c>
      <x:c r="F10" s="9" t="str">
        <x:v>user.department -eq "Sales"</x:v>
      </x:c>
    </x:row>
    <x:row r="11">
      <x:c r="A11" s="9" t="str">
        <x:v>Operations</x:v>
      </x:c>
      <x:c r="B11" s="9" t="str">
        <x:v>SG-DYN-Dept-Operations</x:v>
      </x:c>
      <x:c r="C11" s="9" t="str">
        <x:v>E5-Standard</x:v>
      </x:c>
      <x:c r="D11" s="9" t="str">
        <x:v>Operations baseline</x:v>
      </x:c>
      <x:c r="E11" s="9" t="str">
        <x:v>Operations Manager</x:v>
      </x:c>
      <x:c r="F11" s="9" t="str">
        <x:v>user.department -eq "Operations"</x:v>
      </x:c>
    </x:row>
    <x:row r="14">
      <x:c r="A14" s="39" t="str">
        <x:v>Employee type</x:v>
      </x:c>
      <x:c r="B14" s="39" t="str">
        <x:v>Dynamic group</x:v>
      </x:c>
      <x:c r="C14" s="39" t="str">
        <x:v>License override</x:v>
      </x:c>
      <x:c r="D14" s="39" t="str">
        <x:v>Access package</x:v>
      </x:c>
      <x:c r="E14" s="39" t="str">
        <x:v>Review cadence</x:v>
      </x:c>
      <x:c r="F14" s="39" t="str">
        <x:v>Rule expression</x:v>
      </x:c>
    </x:row>
    <x:row r="15">
      <x:c r="A15" s="9" t="str">
        <x:v>Employee</x:v>
      </x:c>
      <x:c r="B15" s="9" t="str">
        <x:v>SG-DYN-Worker-Employees</x:v>
      </x:c>
      <x:c r="C15" s="9" t="str">
        <x:v>None</x:v>
      </x:c>
      <x:c r="D15" s="9" t="str">
        <x:v>Employee baseline</x:v>
      </x:c>
      <x:c r="E15" s="9" t="str">
        <x:v>Annual</x:v>
      </x:c>
      <x:c r="F15" s="9" t="str">
        <x:v>user.employeeType -eq "Employee"</x:v>
      </x:c>
    </x:row>
    <x:row r="16">
      <x:c r="A16" s="9" t="str">
        <x:v>Contractor</x:v>
      </x:c>
      <x:c r="B16" s="9" t="str">
        <x:v>SG-DYN-Worker-Contractors</x:v>
      </x:c>
      <x:c r="C16" s="9" t="str">
        <x:v>Limited</x:v>
      </x:c>
      <x:c r="D16" s="9" t="str">
        <x:v>Contractor baseline</x:v>
      </x:c>
      <x:c r="E16" s="9" t="str">
        <x:v>Quarterly</x:v>
      </x:c>
      <x:c r="F16" s="9" t="str">
        <x:v>user.employeeType -eq "Contractor"</x:v>
      </x:c>
    </x:row>
  </x:sheetData>
  <x:mergeCells>
    <x:mergeCell ref="A2:F2"/>
    <x:mergeCell ref="A3:F3"/>
  </x:mergeCells>
  <x:pageMargins left="0.7" right="0.7" top="0.75" bottom="0.75" header="0.3" footer="0.3"/>
  <x:tableParts count="2">
    <x:tablePart xmlns:r="http://schemas.openxmlformats.org/officeDocument/2006/relationships" r:id="R709c13976d024131"/>
    <x:tablePart xmlns:r="http://schemas.openxmlformats.org/officeDocument/2006/relationships" r:id="R4147bdd7f6574179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2" hidden="0" customWidth="1"/>
  </x:cols>
  <x:sheetData>
    <x:row r="2">
      <x:c r="A2" s="31" t="str">
        <x:v>Source validation</x:v>
      </x:c>
    </x:row>
    <x:row r="3">
      <x:c r="A3" s="2" t="str">
        <x:v>Every FAIL blocks that record from the Graph change plan.</x:v>
      </x:c>
    </x:row>
    <x:row r="5">
      <x:c r="A5" s="39" t="str">
        <x:v>EmployeeId</x:v>
      </x:c>
      <x:c r="B5" s="39" t="str">
        <x:v>Duplicate ID</x:v>
      </x:c>
      <x:c r="C5" s="39" t="str">
        <x:v>Manager reference</x:v>
      </x:c>
      <x:c r="D5" s="39" t="str">
        <x:v>Department</x:v>
      </x:c>
      <x:c r="E5" s="39" t="str">
        <x:v>Lifecycle action</x:v>
      </x:c>
      <x:c r="F5" s="39" t="str">
        <x:v>Leaver end date</x:v>
      </x:c>
      <x:c r="G5" s="39" t="str">
        <x:v>Source system</x:v>
      </x:c>
      <x:c r="H5" s="39" t="str">
        <x:v>Overall</x:v>
      </x:c>
    </x:row>
    <x:row r="6">
      <x:c r="A6" s="9" t="str">
        <x:f>Employees!A6</x:f>
        <x:v>LAB-1000</x:v>
      </x:c>
      <x:c r="B6" s="9" t="str">
        <x:f>IF(COUNTIF(Employees!$A$6:$A$25,Employees!A6)&gt;1,"Duplicate EmployeeId","")</x:f>
      </x:c>
      <x:c r="C6" s="9" t="str">
        <x:f>IF(AND(Employees!H6&lt;&gt;"",COUNTIF(Employees!$A$6:$A$25,Employees!H6)=0),"Manager not found","")</x:f>
      </x:c>
      <x:c r="D6" s="9" t="str">
        <x:f>IF(COUNTIF(Reference!$A$5:$A$10,Employees!E6)=0,"Invalid department","")</x:f>
      </x:c>
      <x:c r="E6" s="9" t="str">
        <x:f>IF(COUNTIF(Reference!$C$5:$C$7,Employees!K6)=0,"Invalid action","")</x:f>
      </x:c>
      <x:c r="F6" s="9" t="str">
        <x:f>IF(AND(Employees!K6="Disable",Employees!N6=""),"End date required","")</x:f>
      </x:c>
      <x:c r="G6" s="9" t="str">
        <x:f>IF(COUNTIF(Reference!$G$5:$G$5,Employees!P6)=0,"Invalid source","")</x:f>
      </x:c>
      <x:c r="H6" s="9" t="str">
        <x:f>IF(OR(B6&lt;&gt;"",C6&lt;&gt;"",D6&lt;&gt;"",E6&lt;&gt;"",F6&lt;&gt;"",G6&lt;&gt;""),"FAIL","PASS")</x:f>
        <x:v>PASS</x:v>
      </x:c>
    </x:row>
    <x:row r="7">
      <x:c r="A7" s="9" t="str">
        <x:f>Employees!A7</x:f>
        <x:v>LAB-1100</x:v>
      </x:c>
      <x:c r="B7" s="9" t="str">
        <x:f>IF(COUNTIF(Employees!$A$6:$A$25,Employees!A7)&gt;1,"Duplicate EmployeeId","")</x:f>
      </x:c>
      <x:c r="C7" s="9" t="str">
        <x:f>IF(AND(Employees!H7&lt;&gt;"",COUNTIF(Employees!$A$6:$A$25,Employees!H7)=0),"Manager not found","")</x:f>
      </x:c>
      <x:c r="D7" s="9" t="str">
        <x:f>IF(COUNTIF(Reference!$A$5:$A$10,Employees!E7)=0,"Invalid department","")</x:f>
      </x:c>
      <x:c r="E7" s="9" t="str">
        <x:f>IF(COUNTIF(Reference!$C$5:$C$7,Employees!K7)=0,"Invalid action","")</x:f>
      </x:c>
      <x:c r="F7" s="9" t="str">
        <x:f>IF(AND(Employees!K7="Disable",Employees!N7=""),"End date required","")</x:f>
      </x:c>
      <x:c r="G7" s="9" t="str">
        <x:f>IF(COUNTIF(Reference!$G$5:$G$5,Employees!P7)=0,"Invalid source","")</x:f>
      </x:c>
      <x:c r="H7" s="9" t="str">
        <x:f>IF(OR(B7&lt;&gt;"",C7&lt;&gt;"",D7&lt;&gt;"",E7&lt;&gt;"",F7&lt;&gt;"",G7&lt;&gt;""),"FAIL","PASS")</x:f>
        <x:v>PASS</x:v>
      </x:c>
    </x:row>
    <x:row r="8">
      <x:c r="A8" s="9" t="str">
        <x:f>Employees!A8</x:f>
        <x:v>LAB-1101</x:v>
      </x:c>
      <x:c r="B8" s="9" t="str">
        <x:f>IF(COUNTIF(Employees!$A$6:$A$25,Employees!A8)&gt;1,"Duplicate EmployeeId","")</x:f>
      </x:c>
      <x:c r="C8" s="9" t="str">
        <x:f>IF(AND(Employees!H8&lt;&gt;"",COUNTIF(Employees!$A$6:$A$25,Employees!H8)=0),"Manager not found","")</x:f>
      </x:c>
      <x:c r="D8" s="9" t="str">
        <x:f>IF(COUNTIF(Reference!$A$5:$A$10,Employees!E8)=0,"Invalid department","")</x:f>
      </x:c>
      <x:c r="E8" s="9" t="str">
        <x:f>IF(COUNTIF(Reference!$C$5:$C$7,Employees!K8)=0,"Invalid action","")</x:f>
      </x:c>
      <x:c r="F8" s="9" t="str">
        <x:f>IF(AND(Employees!K8="Disable",Employees!N8=""),"End date required","")</x:f>
      </x:c>
      <x:c r="G8" s="9" t="str">
        <x:f>IF(COUNTIF(Reference!$G$5:$G$5,Employees!P8)=0,"Invalid source","")</x:f>
      </x:c>
      <x:c r="H8" s="9" t="str">
        <x:f>IF(OR(B8&lt;&gt;"",C8&lt;&gt;"",D8&lt;&gt;"",E8&lt;&gt;"",F8&lt;&gt;"",G8&lt;&gt;""),"FAIL","PASS")</x:f>
        <x:v>PASS</x:v>
      </x:c>
    </x:row>
    <x:row r="9">
      <x:c r="A9" s="9" t="str">
        <x:f>Employees!A9</x:f>
        <x:v>LAB-1200</x:v>
      </x:c>
      <x:c r="B9" s="9" t="str">
        <x:f>IF(COUNTIF(Employees!$A$6:$A$25,Employees!A9)&gt;1,"Duplicate EmployeeId","")</x:f>
      </x:c>
      <x:c r="C9" s="9" t="str">
        <x:f>IF(AND(Employees!H9&lt;&gt;"",COUNTIF(Employees!$A$6:$A$25,Employees!H9)=0),"Manager not found","")</x:f>
      </x:c>
      <x:c r="D9" s="9" t="str">
        <x:f>IF(COUNTIF(Reference!$A$5:$A$10,Employees!E9)=0,"Invalid department","")</x:f>
      </x:c>
      <x:c r="E9" s="9" t="str">
        <x:f>IF(COUNTIF(Reference!$C$5:$C$7,Employees!K9)=0,"Invalid action","")</x:f>
      </x:c>
      <x:c r="F9" s="9" t="str">
        <x:f>IF(AND(Employees!K9="Disable",Employees!N9=""),"End date required","")</x:f>
      </x:c>
      <x:c r="G9" s="9" t="str">
        <x:f>IF(COUNTIF(Reference!$G$5:$G$5,Employees!P9)=0,"Invalid source","")</x:f>
      </x:c>
      <x:c r="H9" s="9" t="str">
        <x:f>IF(OR(B9&lt;&gt;"",C9&lt;&gt;"",D9&lt;&gt;"",E9&lt;&gt;"",F9&lt;&gt;"",G9&lt;&gt;""),"FAIL","PASS")</x:f>
        <x:v>PASS</x:v>
      </x:c>
    </x:row>
    <x:row r="10">
      <x:c r="A10" s="9" t="str">
        <x:f>Employees!A10</x:f>
        <x:v>LAB-1201</x:v>
      </x:c>
      <x:c r="B10" s="9" t="str">
        <x:f>IF(COUNTIF(Employees!$A$6:$A$25,Employees!A10)&gt;1,"Duplicate EmployeeId","")</x:f>
      </x:c>
      <x:c r="C10" s="9" t="str">
        <x:f>IF(AND(Employees!H10&lt;&gt;"",COUNTIF(Employees!$A$6:$A$25,Employees!H10)=0),"Manager not found","")</x:f>
      </x:c>
      <x:c r="D10" s="9" t="str">
        <x:f>IF(COUNTIF(Reference!$A$5:$A$10,Employees!E10)=0,"Invalid department","")</x:f>
      </x:c>
      <x:c r="E10" s="9" t="str">
        <x:f>IF(COUNTIF(Reference!$C$5:$C$7,Employees!K10)=0,"Invalid action","")</x:f>
      </x:c>
      <x:c r="F10" s="9" t="str">
        <x:f>IF(AND(Employees!K10="Disable",Employees!N10=""),"End date required","")</x:f>
      </x:c>
      <x:c r="G10" s="9" t="str">
        <x:f>IF(COUNTIF(Reference!$G$5:$G$5,Employees!P10)=0,"Invalid source","")</x:f>
      </x:c>
      <x:c r="H10" s="9" t="str">
        <x:f>IF(OR(B10&lt;&gt;"",C10&lt;&gt;"",D10&lt;&gt;"",E10&lt;&gt;"",F10&lt;&gt;"",G10&lt;&gt;""),"FAIL","PASS")</x:f>
        <x:v>PASS</x:v>
      </x:c>
    </x:row>
    <x:row r="11">
      <x:c r="A11" s="9" t="str">
        <x:f>Employees!A11</x:f>
        <x:v>LAB-1202</x:v>
      </x:c>
      <x:c r="B11" s="9" t="str">
        <x:f>IF(COUNTIF(Employees!$A$6:$A$25,Employees!A11)&gt;1,"Duplicate EmployeeId","")</x:f>
      </x:c>
      <x:c r="C11" s="9" t="str">
        <x:f>IF(AND(Employees!H11&lt;&gt;"",COUNTIF(Employees!$A$6:$A$25,Employees!H11)=0),"Manager not found","")</x:f>
      </x:c>
      <x:c r="D11" s="9" t="str">
        <x:f>IF(COUNTIF(Reference!$A$5:$A$10,Employees!E11)=0,"Invalid department","")</x:f>
      </x:c>
      <x:c r="E11" s="9" t="str">
        <x:f>IF(COUNTIF(Reference!$C$5:$C$7,Employees!K11)=0,"Invalid action","")</x:f>
      </x:c>
      <x:c r="F11" s="9" t="str">
        <x:f>IF(AND(Employees!K11="Disable",Employees!N11=""),"End date required","")</x:f>
      </x:c>
      <x:c r="G11" s="9" t="str">
        <x:f>IF(COUNTIF(Reference!$G$5:$G$5,Employees!P11)=0,"Invalid source","")</x:f>
      </x:c>
      <x:c r="H11" s="9" t="str">
        <x:f>IF(OR(B11&lt;&gt;"",C11&lt;&gt;"",D11&lt;&gt;"",E11&lt;&gt;"",F11&lt;&gt;"",G11&lt;&gt;""),"FAIL","PASS")</x:f>
        <x:v>PASS</x:v>
      </x:c>
    </x:row>
    <x:row r="12">
      <x:c r="A12" s="9" t="str">
        <x:f>Employees!A12</x:f>
        <x:v>LAB-1300</x:v>
      </x:c>
      <x:c r="B12" s="9" t="str">
        <x:f>IF(COUNTIF(Employees!$A$6:$A$25,Employees!A12)&gt;1,"Duplicate EmployeeId","")</x:f>
      </x:c>
      <x:c r="C12" s="9" t="str">
        <x:f>IF(AND(Employees!H12&lt;&gt;"",COUNTIF(Employees!$A$6:$A$25,Employees!H12)=0),"Manager not found","")</x:f>
      </x:c>
      <x:c r="D12" s="9" t="str">
        <x:f>IF(COUNTIF(Reference!$A$5:$A$10,Employees!E12)=0,"Invalid department","")</x:f>
      </x:c>
      <x:c r="E12" s="9" t="str">
        <x:f>IF(COUNTIF(Reference!$C$5:$C$7,Employees!K12)=0,"Invalid action","")</x:f>
      </x:c>
      <x:c r="F12" s="9" t="str">
        <x:f>IF(AND(Employees!K12="Disable",Employees!N12=""),"End date required","")</x:f>
      </x:c>
      <x:c r="G12" s="9" t="str">
        <x:f>IF(COUNTIF(Reference!$G$5:$G$5,Employees!P12)=0,"Invalid source","")</x:f>
      </x:c>
      <x:c r="H12" s="9" t="str">
        <x:f>IF(OR(B12&lt;&gt;"",C12&lt;&gt;"",D12&lt;&gt;"",E12&lt;&gt;"",F12&lt;&gt;"",G12&lt;&gt;""),"FAIL","PASS")</x:f>
        <x:v>PASS</x:v>
      </x:c>
    </x:row>
    <x:row r="13">
      <x:c r="A13" s="9" t="str">
        <x:f>Employees!A13</x:f>
        <x:v>LAB-1301</x:v>
      </x:c>
      <x:c r="B13" s="9" t="str">
        <x:f>IF(COUNTIF(Employees!$A$6:$A$25,Employees!A13)&gt;1,"Duplicate EmployeeId","")</x:f>
      </x:c>
      <x:c r="C13" s="9" t="str">
        <x:f>IF(AND(Employees!H13&lt;&gt;"",COUNTIF(Employees!$A$6:$A$25,Employees!H13)=0),"Manager not found","")</x:f>
      </x:c>
      <x:c r="D13" s="9" t="str">
        <x:f>IF(COUNTIF(Reference!$A$5:$A$10,Employees!E13)=0,"Invalid department","")</x:f>
      </x:c>
      <x:c r="E13" s="9" t="str">
        <x:f>IF(COUNTIF(Reference!$C$5:$C$7,Employees!K13)=0,"Invalid action","")</x:f>
      </x:c>
      <x:c r="F13" s="9" t="str">
        <x:f>IF(AND(Employees!K13="Disable",Employees!N13=""),"End date required","")</x:f>
      </x:c>
      <x:c r="G13" s="9" t="str">
        <x:f>IF(COUNTIF(Reference!$G$5:$G$5,Employees!P13)=0,"Invalid source","")</x:f>
      </x:c>
      <x:c r="H13" s="9" t="str">
        <x:f>IF(OR(B13&lt;&gt;"",C13&lt;&gt;"",D13&lt;&gt;"",E13&lt;&gt;"",F13&lt;&gt;"",G13&lt;&gt;""),"FAIL","PASS")</x:f>
        <x:v>PASS</x:v>
      </x:c>
    </x:row>
    <x:row r="14">
      <x:c r="A14" s="9" t="str">
        <x:f>Employees!A14</x:f>
        <x:v>LAB-1302</x:v>
      </x:c>
      <x:c r="B14" s="9" t="str">
        <x:f>IF(COUNTIF(Employees!$A$6:$A$25,Employees!A14)&gt;1,"Duplicate EmployeeId","")</x:f>
      </x:c>
      <x:c r="C14" s="9" t="str">
        <x:f>IF(AND(Employees!H14&lt;&gt;"",COUNTIF(Employees!$A$6:$A$25,Employees!H14)=0),"Manager not found","")</x:f>
      </x:c>
      <x:c r="D14" s="9" t="str">
        <x:f>IF(COUNTIF(Reference!$A$5:$A$10,Employees!E14)=0,"Invalid department","")</x:f>
      </x:c>
      <x:c r="E14" s="9" t="str">
        <x:f>IF(COUNTIF(Reference!$C$5:$C$7,Employees!K14)=0,"Invalid action","")</x:f>
      </x:c>
      <x:c r="F14" s="9" t="str">
        <x:f>IF(AND(Employees!K14="Disable",Employees!N14=""),"End date required","")</x:f>
      </x:c>
      <x:c r="G14" s="9" t="str">
        <x:f>IF(COUNTIF(Reference!$G$5:$G$5,Employees!P14)=0,"Invalid source","")</x:f>
      </x:c>
      <x:c r="H14" s="9" t="str">
        <x:f>IF(OR(B14&lt;&gt;"",C14&lt;&gt;"",D14&lt;&gt;"",E14&lt;&gt;"",F14&lt;&gt;"",G14&lt;&gt;""),"FAIL","PASS")</x:f>
        <x:v>PASS</x:v>
      </x:c>
    </x:row>
    <x:row r="15">
      <x:c r="A15" s="9" t="str">
        <x:f>Employees!A15</x:f>
        <x:v>LAB-1303</x:v>
      </x:c>
      <x:c r="B15" s="9" t="str">
        <x:f>IF(COUNTIF(Employees!$A$6:$A$25,Employees!A15)&gt;1,"Duplicate EmployeeId","")</x:f>
      </x:c>
      <x:c r="C15" s="9" t="str">
        <x:f>IF(AND(Employees!H15&lt;&gt;"",COUNTIF(Employees!$A$6:$A$25,Employees!H15)=0),"Manager not found","")</x:f>
      </x:c>
      <x:c r="D15" s="9" t="str">
        <x:f>IF(COUNTIF(Reference!$A$5:$A$10,Employees!E15)=0,"Invalid department","")</x:f>
      </x:c>
      <x:c r="E15" s="9" t="str">
        <x:f>IF(COUNTIF(Reference!$C$5:$C$7,Employees!K15)=0,"Invalid action","")</x:f>
      </x:c>
      <x:c r="F15" s="9" t="str">
        <x:f>IF(AND(Employees!K15="Disable",Employees!N15=""),"End date required","")</x:f>
      </x:c>
      <x:c r="G15" s="9" t="str">
        <x:f>IF(COUNTIF(Reference!$G$5:$G$5,Employees!P15)=0,"Invalid source","")</x:f>
      </x:c>
      <x:c r="H15" s="9" t="str">
        <x:f>IF(OR(B15&lt;&gt;"",C15&lt;&gt;"",D15&lt;&gt;"",E15&lt;&gt;"",F15&lt;&gt;"",G15&lt;&gt;""),"FAIL","PASS")</x:f>
        <x:v>PASS</x:v>
      </x:c>
    </x:row>
    <x:row r="16">
      <x:c r="A16" s="9" t="str">
        <x:f>Employees!A16</x:f>
        <x:v>LAB-1400</x:v>
      </x:c>
      <x:c r="B16" s="9" t="str">
        <x:f>IF(COUNTIF(Employees!$A$6:$A$25,Employees!A16)&gt;1,"Duplicate EmployeeId","")</x:f>
      </x:c>
      <x:c r="C16" s="9" t="str">
        <x:f>IF(AND(Employees!H16&lt;&gt;"",COUNTIF(Employees!$A$6:$A$25,Employees!H16)=0),"Manager not found","")</x:f>
      </x:c>
      <x:c r="D16" s="9" t="str">
        <x:f>IF(COUNTIF(Reference!$A$5:$A$10,Employees!E16)=0,"Invalid department","")</x:f>
      </x:c>
      <x:c r="E16" s="9" t="str">
        <x:f>IF(COUNTIF(Reference!$C$5:$C$7,Employees!K16)=0,"Invalid action","")</x:f>
      </x:c>
      <x:c r="F16" s="9" t="str">
        <x:f>IF(AND(Employees!K16="Disable",Employees!N16=""),"End date required","")</x:f>
      </x:c>
      <x:c r="G16" s="9" t="str">
        <x:f>IF(COUNTIF(Reference!$G$5:$G$5,Employees!P16)=0,"Invalid source","")</x:f>
      </x:c>
      <x:c r="H16" s="9" t="str">
        <x:f>IF(OR(B16&lt;&gt;"",C16&lt;&gt;"",D16&lt;&gt;"",E16&lt;&gt;"",F16&lt;&gt;"",G16&lt;&gt;""),"FAIL","PASS")</x:f>
        <x:v>PASS</x:v>
      </x:c>
    </x:row>
    <x:row r="17">
      <x:c r="A17" s="9" t="str">
        <x:f>Employees!A17</x:f>
        <x:v>LAB-1401</x:v>
      </x:c>
      <x:c r="B17" s="9" t="str">
        <x:f>IF(COUNTIF(Employees!$A$6:$A$25,Employees!A17)&gt;1,"Duplicate EmployeeId","")</x:f>
      </x:c>
      <x:c r="C17" s="9" t="str">
        <x:f>IF(AND(Employees!H17&lt;&gt;"",COUNTIF(Employees!$A$6:$A$25,Employees!H17)=0),"Manager not found","")</x:f>
      </x:c>
      <x:c r="D17" s="9" t="str">
        <x:f>IF(COUNTIF(Reference!$A$5:$A$10,Employees!E17)=0,"Invalid department","")</x:f>
      </x:c>
      <x:c r="E17" s="9" t="str">
        <x:f>IF(COUNTIF(Reference!$C$5:$C$7,Employees!K17)=0,"Invalid action","")</x:f>
      </x:c>
      <x:c r="F17" s="9" t="str">
        <x:f>IF(AND(Employees!K17="Disable",Employees!N17=""),"End date required","")</x:f>
      </x:c>
      <x:c r="G17" s="9" t="str">
        <x:f>IF(COUNTIF(Reference!$G$5:$G$5,Employees!P17)=0,"Invalid source","")</x:f>
      </x:c>
      <x:c r="H17" s="9" t="str">
        <x:f>IF(OR(B17&lt;&gt;"",C17&lt;&gt;"",D17&lt;&gt;"",E17&lt;&gt;"",F17&lt;&gt;"",G17&lt;&gt;""),"FAIL","PASS")</x:f>
        <x:v>PASS</x:v>
      </x:c>
    </x:row>
    <x:row r="18">
      <x:c r="A18" s="9" t="str">
        <x:f>Employees!A18</x:f>
        <x:v>LAB-1402</x:v>
      </x:c>
      <x:c r="B18" s="9" t="str">
        <x:f>IF(COUNTIF(Employees!$A$6:$A$25,Employees!A18)&gt;1,"Duplicate EmployeeId","")</x:f>
      </x:c>
      <x:c r="C18" s="9" t="str">
        <x:f>IF(AND(Employees!H18&lt;&gt;"",COUNTIF(Employees!$A$6:$A$25,Employees!H18)=0),"Manager not found","")</x:f>
      </x:c>
      <x:c r="D18" s="9" t="str">
        <x:f>IF(COUNTIF(Reference!$A$5:$A$10,Employees!E18)=0,"Invalid department","")</x:f>
      </x:c>
      <x:c r="E18" s="9" t="str">
        <x:f>IF(COUNTIF(Reference!$C$5:$C$7,Employees!K18)=0,"Invalid action","")</x:f>
      </x:c>
      <x:c r="F18" s="9" t="str">
        <x:f>IF(AND(Employees!K18="Disable",Employees!N18=""),"End date required","")</x:f>
      </x:c>
      <x:c r="G18" s="9" t="str">
        <x:f>IF(COUNTIF(Reference!$G$5:$G$5,Employees!P18)=0,"Invalid source","")</x:f>
      </x:c>
      <x:c r="H18" s="9" t="str">
        <x:f>IF(OR(B18&lt;&gt;"",C18&lt;&gt;"",D18&lt;&gt;"",E18&lt;&gt;"",F18&lt;&gt;"",G18&lt;&gt;""),"FAIL","PASS")</x:f>
        <x:v>PASS</x:v>
      </x:c>
    </x:row>
    <x:row r="19">
      <x:c r="A19" s="9" t="str">
        <x:f>Employees!A19</x:f>
        <x:v>LAB-1500</x:v>
      </x:c>
      <x:c r="B19" s="9" t="str">
        <x:f>IF(COUNTIF(Employees!$A$6:$A$25,Employees!A19)&gt;1,"Duplicate EmployeeId","")</x:f>
      </x:c>
      <x:c r="C19" s="9" t="str">
        <x:f>IF(AND(Employees!H19&lt;&gt;"",COUNTIF(Employees!$A$6:$A$25,Employees!H19)=0),"Manager not found","")</x:f>
      </x:c>
      <x:c r="D19" s="9" t="str">
        <x:f>IF(COUNTIF(Reference!$A$5:$A$10,Employees!E19)=0,"Invalid department","")</x:f>
      </x:c>
      <x:c r="E19" s="9" t="str">
        <x:f>IF(COUNTIF(Reference!$C$5:$C$7,Employees!K19)=0,"Invalid action","")</x:f>
      </x:c>
      <x:c r="F19" s="9" t="str">
        <x:f>IF(AND(Employees!K19="Disable",Employees!N19=""),"End date required","")</x:f>
      </x:c>
      <x:c r="G19" s="9" t="str">
        <x:f>IF(COUNTIF(Reference!$G$5:$G$5,Employees!P19)=0,"Invalid source","")</x:f>
      </x:c>
      <x:c r="H19" s="9" t="str">
        <x:f>IF(OR(B19&lt;&gt;"",C19&lt;&gt;"",D19&lt;&gt;"",E19&lt;&gt;"",F19&lt;&gt;"",G19&lt;&gt;""),"FAIL","PASS")</x:f>
        <x:v>PASS</x:v>
      </x:c>
    </x:row>
    <x:row r="20">
      <x:c r="A20" s="9" t="str">
        <x:f>Employees!A20</x:f>
        <x:v>LAB-1501</x:v>
      </x:c>
      <x:c r="B20" s="9" t="str">
        <x:f>IF(COUNTIF(Employees!$A$6:$A$25,Employees!A20)&gt;1,"Duplicate EmployeeId","")</x:f>
      </x:c>
      <x:c r="C20" s="9" t="str">
        <x:f>IF(AND(Employees!H20&lt;&gt;"",COUNTIF(Employees!$A$6:$A$25,Employees!H20)=0),"Manager not found","")</x:f>
      </x:c>
      <x:c r="D20" s="9" t="str">
        <x:f>IF(COUNTIF(Reference!$A$5:$A$10,Employees!E20)=0,"Invalid department","")</x:f>
      </x:c>
      <x:c r="E20" s="9" t="str">
        <x:f>IF(COUNTIF(Reference!$C$5:$C$7,Employees!K20)=0,"Invalid action","")</x:f>
      </x:c>
      <x:c r="F20" s="9" t="str">
        <x:f>IF(AND(Employees!K20="Disable",Employees!N20=""),"End date required","")</x:f>
      </x:c>
      <x:c r="G20" s="9" t="str">
        <x:f>IF(COUNTIF(Reference!$G$5:$G$5,Employees!P20)=0,"Invalid source","")</x:f>
      </x:c>
      <x:c r="H20" s="9" t="str">
        <x:f>IF(OR(B20&lt;&gt;"",C20&lt;&gt;"",D20&lt;&gt;"",E20&lt;&gt;"",F20&lt;&gt;"",G20&lt;&gt;""),"FAIL","PASS")</x:f>
        <x:v>PASS</x:v>
      </x:c>
    </x:row>
    <x:row r="21">
      <x:c r="A21" s="9" t="str">
        <x:f>Employees!A21</x:f>
        <x:v>LAB-1502</x:v>
      </x:c>
      <x:c r="B21" s="9" t="str">
        <x:f>IF(COUNTIF(Employees!$A$6:$A$25,Employees!A21)&gt;1,"Duplicate EmployeeId","")</x:f>
      </x:c>
      <x:c r="C21" s="9" t="str">
        <x:f>IF(AND(Employees!H21&lt;&gt;"",COUNTIF(Employees!$A$6:$A$25,Employees!H21)=0),"Manager not found","")</x:f>
      </x:c>
      <x:c r="D21" s="9" t="str">
        <x:f>IF(COUNTIF(Reference!$A$5:$A$10,Employees!E21)=0,"Invalid department","")</x:f>
      </x:c>
      <x:c r="E21" s="9" t="str">
        <x:f>IF(COUNTIF(Reference!$C$5:$C$7,Employees!K21)=0,"Invalid action","")</x:f>
      </x:c>
      <x:c r="F21" s="9" t="str">
        <x:f>IF(AND(Employees!K21="Disable",Employees!N21=""),"End date required","")</x:f>
      </x:c>
      <x:c r="G21" s="9" t="str">
        <x:f>IF(COUNTIF(Reference!$G$5:$G$5,Employees!P21)=0,"Invalid source","")</x:f>
      </x:c>
      <x:c r="H21" s="9" t="str">
        <x:f>IF(OR(B21&lt;&gt;"",C21&lt;&gt;"",D21&lt;&gt;"",E21&lt;&gt;"",F21&lt;&gt;"",G21&lt;&gt;""),"FAIL","PASS")</x:f>
        <x:v>PASS</x:v>
      </x:c>
    </x:row>
    <x:row r="22">
      <x:c r="A22" s="9" t="str">
        <x:f>Employees!A22</x:f>
        <x:v>LAB-1600</x:v>
      </x:c>
      <x:c r="B22" s="9" t="str">
        <x:f>IF(COUNTIF(Employees!$A$6:$A$25,Employees!A22)&gt;1,"Duplicate EmployeeId","")</x:f>
      </x:c>
      <x:c r="C22" s="9" t="str">
        <x:f>IF(AND(Employees!H22&lt;&gt;"",COUNTIF(Employees!$A$6:$A$25,Employees!H22)=0),"Manager not found","")</x:f>
      </x:c>
      <x:c r="D22" s="9" t="str">
        <x:f>IF(COUNTIF(Reference!$A$5:$A$10,Employees!E22)=0,"Invalid department","")</x:f>
      </x:c>
      <x:c r="E22" s="9" t="str">
        <x:f>IF(COUNTIF(Reference!$C$5:$C$7,Employees!K22)=0,"Invalid action","")</x:f>
      </x:c>
      <x:c r="F22" s="9" t="str">
        <x:f>IF(AND(Employees!K22="Disable",Employees!N22=""),"End date required","")</x:f>
      </x:c>
      <x:c r="G22" s="9" t="str">
        <x:f>IF(COUNTIF(Reference!$G$5:$G$5,Employees!P22)=0,"Invalid source","")</x:f>
      </x:c>
      <x:c r="H22" s="9" t="str">
        <x:f>IF(OR(B22&lt;&gt;"",C22&lt;&gt;"",D22&lt;&gt;"",E22&lt;&gt;"",F22&lt;&gt;"",G22&lt;&gt;""),"FAIL","PASS")</x:f>
        <x:v>PASS</x:v>
      </x:c>
    </x:row>
    <x:row r="23">
      <x:c r="A23" s="9" t="str">
        <x:f>Employees!A23</x:f>
        <x:v>LAB-1601</x:v>
      </x:c>
      <x:c r="B23" s="9" t="str">
        <x:f>IF(COUNTIF(Employees!$A$6:$A$25,Employees!A23)&gt;1,"Duplicate EmployeeId","")</x:f>
      </x:c>
      <x:c r="C23" s="9" t="str">
        <x:f>IF(AND(Employees!H23&lt;&gt;"",COUNTIF(Employees!$A$6:$A$25,Employees!H23)=0),"Manager not found","")</x:f>
      </x:c>
      <x:c r="D23" s="9" t="str">
        <x:f>IF(COUNTIF(Reference!$A$5:$A$10,Employees!E23)=0,"Invalid department","")</x:f>
      </x:c>
      <x:c r="E23" s="9" t="str">
        <x:f>IF(COUNTIF(Reference!$C$5:$C$7,Employees!K23)=0,"Invalid action","")</x:f>
      </x:c>
      <x:c r="F23" s="9" t="str">
        <x:f>IF(AND(Employees!K23="Disable",Employees!N23=""),"End date required","")</x:f>
      </x:c>
      <x:c r="G23" s="9" t="str">
        <x:f>IF(COUNTIF(Reference!$G$5:$G$5,Employees!P23)=0,"Invalid source","")</x:f>
      </x:c>
      <x:c r="H23" s="9" t="str">
        <x:f>IF(OR(B23&lt;&gt;"",C23&lt;&gt;"",D23&lt;&gt;"",E23&lt;&gt;"",F23&lt;&gt;"",G23&lt;&gt;""),"FAIL","PASS")</x:f>
        <x:v>PASS</x:v>
      </x:c>
    </x:row>
    <x:row r="24">
      <x:c r="A24" s="9" t="str">
        <x:f>Employees!A24</x:f>
        <x:v>LAB-1700</x:v>
      </x:c>
      <x:c r="B24" s="9" t="str">
        <x:f>IF(COUNTIF(Employees!$A$6:$A$25,Employees!A24)&gt;1,"Duplicate EmployeeId","")</x:f>
      </x:c>
      <x:c r="C24" s="9" t="str">
        <x:f>IF(AND(Employees!H24&lt;&gt;"",COUNTIF(Employees!$A$6:$A$25,Employees!H24)=0),"Manager not found","")</x:f>
      </x:c>
      <x:c r="D24" s="9" t="str">
        <x:f>IF(COUNTIF(Reference!$A$5:$A$10,Employees!E24)=0,"Invalid department","")</x:f>
      </x:c>
      <x:c r="E24" s="9" t="str">
        <x:f>IF(COUNTIF(Reference!$C$5:$C$7,Employees!K24)=0,"Invalid action","")</x:f>
      </x:c>
      <x:c r="F24" s="9" t="str">
        <x:f>IF(AND(Employees!K24="Disable",Employees!N24=""),"End date required","")</x:f>
      </x:c>
      <x:c r="G24" s="9" t="str">
        <x:f>IF(COUNTIF(Reference!$G$5:$G$5,Employees!P24)=0,"Invalid source","")</x:f>
      </x:c>
      <x:c r="H24" s="9" t="str">
        <x:f>IF(OR(B24&lt;&gt;"",C24&lt;&gt;"",D24&lt;&gt;"",E24&lt;&gt;"",F24&lt;&gt;"",G24&lt;&gt;""),"FAIL","PASS")</x:f>
        <x:v>PASS</x:v>
      </x:c>
    </x:row>
    <x:row r="25">
      <x:c r="A25" s="9" t="str">
        <x:f>Employees!A25</x:f>
        <x:v>LAB-1800</x:v>
      </x:c>
      <x:c r="B25" s="9" t="str">
        <x:f>IF(COUNTIF(Employees!$A$6:$A$25,Employees!A25)&gt;1,"Duplicate EmployeeId","")</x:f>
      </x:c>
      <x:c r="C25" s="9" t="str">
        <x:f>IF(AND(Employees!H25&lt;&gt;"",COUNTIF(Employees!$A$6:$A$25,Employees!H25)=0),"Manager not found","")</x:f>
      </x:c>
      <x:c r="D25" s="9" t="str">
        <x:f>IF(COUNTIF(Reference!$A$5:$A$10,Employees!E25)=0,"Invalid department","")</x:f>
      </x:c>
      <x:c r="E25" s="9" t="str">
        <x:f>IF(COUNTIF(Reference!$C$5:$C$7,Employees!K25)=0,"Invalid action","")</x:f>
      </x:c>
      <x:c r="F25" s="9" t="str">
        <x:f>IF(AND(Employees!K25="Disable",Employees!N25=""),"End date required","")</x:f>
      </x:c>
      <x:c r="G25" s="9" t="str">
        <x:f>IF(COUNTIF(Reference!$G$5:$G$5,Employees!P25)=0,"Invalid source","")</x:f>
      </x:c>
      <x:c r="H25" s="9" t="str">
        <x:f>IF(OR(B25&lt;&gt;"",C25&lt;&gt;"",D25&lt;&gt;"",E25&lt;&gt;"",F25&lt;&gt;"",G25&lt;&gt;""),"FAIL","PASS")</x:f>
        <x:v>PASS</x:v>
      </x:c>
    </x:row>
  </x:sheetData>
  <x:mergeCells>
    <x:mergeCell ref="A2:H2"/>
    <x:mergeCell ref="A3:H3"/>
  </x:mergeCells>
  <x:conditionalFormatting sqref="H6:H25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a2abddf219464bad"/>
  </x:tableParts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</x:cols>
  <x:sheetData>
    <x:row r="2">
      <x:c r="A2" s="31" t="str">
        <x:v>Controlled values</x:v>
      </x:c>
    </x:row>
    <x:row r="4">
      <x:c r="A4" s="39" t="str">
        <x:v>Departments</x:v>
      </x:c>
      <x:c r="B4" s="39" t="str">
        <x:v>Employee types</x:v>
      </x:c>
      <x:c r="C4" s="39" t="str">
        <x:v>Lifecycle actions</x:v>
      </x:c>
      <x:c r="D4" s="39" t="str">
        <x:v>Employment statuses</x:v>
      </x:c>
      <x:c r="E4" s="39" t="str">
        <x:v>Locations</x:v>
      </x:c>
      <x:c r="F4" s="39" t="str">
        <x:v>Country codes</x:v>
      </x:c>
      <x:c r="G4" s="39" t="str">
        <x:v>Source systems</x:v>
      </x:c>
      <x:c r="H4" s="39" t="str">
        <x:v>Validation meaning</x:v>
      </x:c>
    </x:row>
    <x:row r="5">
      <x:c r="A5" s="9" t="str">
        <x:v>Executive</x:v>
      </x:c>
      <x:c r="B5" s="9" t="str">
        <x:v>Employee</x:v>
      </x:c>
      <x:c r="C5" s="9" t="str">
        <x:v>Create</x:v>
      </x:c>
      <x:c r="D5" s="9" t="str">
        <x:v>Active</x:v>
      </x:c>
      <x:c r="E5" s="9" t="str">
        <x:v>Sofia</x:v>
      </x:c>
      <x:c r="F5" s="9" t="str">
        <x:v>BG</x:v>
      </x:c>
      <x:c r="G5" s="9" t="str">
        <x:v>HR-LAB</x:v>
      </x:c>
      <x:c r="H5" s="9" t="str">
        <x:v>PASS: record can enter planning</x:v>
      </x:c>
    </x:row>
    <x:row r="6">
      <x:c r="A6" s="9" t="str">
        <x:v>HR</x:v>
      </x:c>
      <x:c r="B6" s="9" t="str">
        <x:v>Contractor</x:v>
      </x:c>
      <x:c r="C6" s="9" t="str">
        <x:v>Update</x:v>
      </x:c>
      <x:c r="D6" s="9" t="str">
        <x:v>PreHire</x:v>
      </x:c>
      <x:c r="E6" s="9" t="str">
        <x:v>Varna</x:v>
      </x:c>
      <x:c r="F6" s="9" t="str">
        <x:v>RO</x:v>
      </x:c>
      <x:c r="G6" s="9"/>
      <x:c r="H6" s="9" t="str">
        <x:v>FAIL: pipeline must stop for the record</x:v>
      </x:c>
    </x:row>
    <x:row r="7">
      <x:c r="A7" s="9" t="str">
        <x:v>Finance</x:v>
      </x:c>
      <x:c r="B7" s="9"/>
      <x:c r="C7" s="9" t="str">
        <x:v>Disable</x:v>
      </x:c>
      <x:c r="D7" s="9" t="str">
        <x:v>LeaveScheduled</x:v>
      </x:c>
      <x:c r="E7" s="9" t="str">
        <x:v>Bucharest</x:v>
      </x:c>
      <x:c r="F7" s="9"/>
      <x:c r="G7" s="9"/>
      <x:c r="H7" s="9" t="str">
        <x:v>Warnings require explicit approval before apply</x:v>
      </x:c>
    </x:row>
    <x:row r="8">
      <x:c r="A8" s="9" t="str">
        <x:v>IT</x:v>
      </x:c>
      <x:c r="B8" s="9"/>
      <x:c r="C8" s="9"/>
      <x:c r="D8" s="9"/>
      <x:c r="E8" s="9"/>
      <x:c r="F8" s="9"/>
      <x:c r="G8" s="9"/>
      <x:c r="H8" s="9"/>
    </x:row>
    <x:row r="9">
      <x:c r="A9" s="9" t="str">
        <x:v>Sales</x:v>
      </x:c>
      <x:c r="B9" s="9"/>
      <x:c r="C9" s="9"/>
      <x:c r="D9" s="9"/>
      <x:c r="E9" s="9"/>
      <x:c r="F9" s="9"/>
      <x:c r="G9" s="9"/>
      <x:c r="H9" s="9"/>
    </x:row>
    <x:row r="10">
      <x:c r="A10" s="9" t="str">
        <x:v>Operations</x:v>
      </x:c>
      <x:c r="B10" s="9"/>
      <x:c r="C10" s="9"/>
      <x:c r="D10" s="9"/>
      <x:c r="E10" s="9"/>
      <x:c r="F10" s="9"/>
      <x:c r="G10" s="9"/>
      <x:c r="H10" s="9"/>
    </x:row>
  </x:sheetData>
  <x:mergeCells>
    <x:mergeCell ref="A2:H2"/>
  </x:mergeCells>
  <x:pageMargins left="0.7" right="0.7" top="0.75" bottom="0.75" header="0.3" footer="0.3"/>
</x:worksheet>
</file>